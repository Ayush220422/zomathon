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Before (Baseline)" sheetId="1" state="visible" r:id="rId3"/>
    <sheet name="✅ After (Smart Model)" sheetId="2" state="visible" r:id="rId4"/>
    <sheet name="🔁 Side-by-Side" sheetId="3" state="visible" r:id="rId5"/>
    <sheet name="📊 Summary Dashboard" sheetId="4" state="visible" r:id="rId6"/>
    <sheet name="⚙️ Signal Calcula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<sst xmlns="http://schemas.openxmlformats.org/spreadsheetml/2006/main" count="1671" uniqueCount="325">
  <si>
    <t xml:space="preserve">❌  BEFORE  —  Baseline Dispatch System  (Historical KPT + Fixed 0.75 Threshold — No Smart Signals)</t>
  </si>
  <si>
    <t xml:space="preserve">Order ID</t>
  </si>
  <si>
    <t xml:space="preserve">Restaurant</t>
  </si>
  <si>
    <t xml:space="preserve">Cuisine</t>
  </si>
  <si>
    <t xml:space="preserve">Actual KPT
(min)</t>
  </si>
  <si>
    <t xml:space="preserve">Predicted KPT
(Baseline)</t>
  </si>
  <si>
    <t xml:space="preserve">KPT Error
(|min|)</t>
  </si>
  <si>
    <t xml:space="preserve">Dispatch
Threshold</t>
  </si>
  <si>
    <t xml:space="preserve">Dispatch
Offset (min)</t>
  </si>
  <si>
    <t xml:space="preserve">Rider Travel
(min)</t>
  </si>
  <si>
    <t xml:space="preserve">Rider Wait
(min)</t>
  </si>
  <si>
    <t xml:space="preserve">ETA Error
(min)</t>
  </si>
  <si>
    <t xml:space="preserve">Order
Delayed?</t>
  </si>
  <si>
    <t xml:space="preserve">Weather</t>
  </si>
  <si>
    <t xml:space="preserve">Complexity</t>
  </si>
  <si>
    <t xml:space="preserve">Queue
(pending)</t>
  </si>
  <si>
    <t xml:space="preserve">Hidden Load
Factor</t>
  </si>
  <si>
    <t xml:space="preserve">O00001</t>
  </si>
  <si>
    <t xml:space="preserve">Tandoor House</t>
  </si>
  <si>
    <t xml:space="preserve">Mughlai</t>
  </si>
  <si>
    <t xml:space="preserve">no</t>
  </si>
  <si>
    <t xml:space="preserve">clear</t>
  </si>
  <si>
    <t xml:space="preserve">O00002</t>
  </si>
  <si>
    <t xml:space="preserve">Idli Express</t>
  </si>
  <si>
    <t xml:space="preserve">South Indian</t>
  </si>
  <si>
    <t xml:space="preserve">light_rain</t>
  </si>
  <si>
    <t xml:space="preserve">O00003</t>
  </si>
  <si>
    <t xml:space="preserve">heavy_rain</t>
  </si>
  <si>
    <t xml:space="preserve">O00004</t>
  </si>
  <si>
    <t xml:space="preserve">Burger Barn</t>
  </si>
  <si>
    <t xml:space="preserve">Fast Food</t>
  </si>
  <si>
    <t xml:space="preserve">O00005</t>
  </si>
  <si>
    <t xml:space="preserve">Healthy Hub</t>
  </si>
  <si>
    <t xml:space="preserve">Salads</t>
  </si>
  <si>
    <t xml:space="preserve">O00006</t>
  </si>
  <si>
    <t xml:space="preserve">O00007</t>
  </si>
  <si>
    <t xml:space="preserve">extreme_heat</t>
  </si>
  <si>
    <t xml:space="preserve">O00008</t>
  </si>
  <si>
    <t xml:space="preserve">Spice Garden</t>
  </si>
  <si>
    <t xml:space="preserve">North Indian</t>
  </si>
  <si>
    <t xml:space="preserve">O00009</t>
  </si>
  <si>
    <t xml:space="preserve">O00010</t>
  </si>
  <si>
    <t xml:space="preserve">Biryani Bros</t>
  </si>
  <si>
    <t xml:space="preserve">Biryani</t>
  </si>
  <si>
    <t xml:space="preserve">cloudy</t>
  </si>
  <si>
    <t xml:space="preserve">O00011</t>
  </si>
  <si>
    <t xml:space="preserve">O00012</t>
  </si>
  <si>
    <t xml:space="preserve">Cloud Bites</t>
  </si>
  <si>
    <t xml:space="preserve">Multi</t>
  </si>
  <si>
    <t xml:space="preserve">O00013</t>
  </si>
  <si>
    <t xml:space="preserve">O00014</t>
  </si>
  <si>
    <t xml:space="preserve">Wok &amp; Roll</t>
  </si>
  <si>
    <t xml:space="preserve">Chinese</t>
  </si>
  <si>
    <t xml:space="preserve">O00015</t>
  </si>
  <si>
    <t xml:space="preserve">O00016</t>
  </si>
  <si>
    <t xml:space="preserve">Pizza Palace</t>
  </si>
  <si>
    <t xml:space="preserve">Italian</t>
  </si>
  <si>
    <t xml:space="preserve">O00017</t>
  </si>
  <si>
    <t xml:space="preserve">O00018</t>
  </si>
  <si>
    <t xml:space="preserve">O00019</t>
  </si>
  <si>
    <t xml:space="preserve">O00020</t>
  </si>
  <si>
    <t xml:space="preserve">O00021</t>
  </si>
  <si>
    <t xml:space="preserve">O00022</t>
  </si>
  <si>
    <t xml:space="preserve">O00023</t>
  </si>
  <si>
    <t xml:space="preserve">YES</t>
  </si>
  <si>
    <t xml:space="preserve">O00024</t>
  </si>
  <si>
    <t xml:space="preserve">O00025</t>
  </si>
  <si>
    <t xml:space="preserve">O00026</t>
  </si>
  <si>
    <t xml:space="preserve">O00027</t>
  </si>
  <si>
    <t xml:space="preserve">O00028</t>
  </si>
  <si>
    <t xml:space="preserve">O00029</t>
  </si>
  <si>
    <t xml:space="preserve">O00030</t>
  </si>
  <si>
    <t xml:space="preserve">O00031</t>
  </si>
  <si>
    <t xml:space="preserve">O00032</t>
  </si>
  <si>
    <t xml:space="preserve">O00033</t>
  </si>
  <si>
    <t xml:space="preserve">O00034</t>
  </si>
  <si>
    <t xml:space="preserve">O00035</t>
  </si>
  <si>
    <t xml:space="preserve">O00036</t>
  </si>
  <si>
    <t xml:space="preserve">O00037</t>
  </si>
  <si>
    <t xml:space="preserve">O00038</t>
  </si>
  <si>
    <t xml:space="preserve">O00039</t>
  </si>
  <si>
    <t xml:space="preserve">O00040</t>
  </si>
  <si>
    <t xml:space="preserve">O00041</t>
  </si>
  <si>
    <t xml:space="preserve">O00042</t>
  </si>
  <si>
    <t xml:space="preserve">Midnight Munchies</t>
  </si>
  <si>
    <t xml:space="preserve">Snacks</t>
  </si>
  <si>
    <t xml:space="preserve">O00043</t>
  </si>
  <si>
    <t xml:space="preserve">O00044</t>
  </si>
  <si>
    <t xml:space="preserve">O00045</t>
  </si>
  <si>
    <t xml:space="preserve">O00046</t>
  </si>
  <si>
    <t xml:space="preserve">O00047</t>
  </si>
  <si>
    <t xml:space="preserve">O00048</t>
  </si>
  <si>
    <t xml:space="preserve">O00049</t>
  </si>
  <si>
    <t xml:space="preserve">O00050</t>
  </si>
  <si>
    <t xml:space="preserve">O00051</t>
  </si>
  <si>
    <t xml:space="preserve">O00052</t>
  </si>
  <si>
    <t xml:space="preserve">O00053</t>
  </si>
  <si>
    <t xml:space="preserve">O00054</t>
  </si>
  <si>
    <t xml:space="preserve">O00055</t>
  </si>
  <si>
    <t xml:space="preserve">O00056</t>
  </si>
  <si>
    <t xml:space="preserve">O00057</t>
  </si>
  <si>
    <t xml:space="preserve">O00058</t>
  </si>
  <si>
    <t xml:space="preserve">O00059</t>
  </si>
  <si>
    <t xml:space="preserve">O00060</t>
  </si>
  <si>
    <t xml:space="preserve">O00061</t>
  </si>
  <si>
    <t xml:space="preserve">O00062</t>
  </si>
  <si>
    <t xml:space="preserve">O00063</t>
  </si>
  <si>
    <t xml:space="preserve">O00064</t>
  </si>
  <si>
    <t xml:space="preserve">O00065</t>
  </si>
  <si>
    <t xml:space="preserve">O00066</t>
  </si>
  <si>
    <t xml:space="preserve">O00067</t>
  </si>
  <si>
    <t xml:space="preserve">O00068</t>
  </si>
  <si>
    <t xml:space="preserve">O00069</t>
  </si>
  <si>
    <t xml:space="preserve">O00070</t>
  </si>
  <si>
    <t xml:space="preserve">O00071</t>
  </si>
  <si>
    <t xml:space="preserve">O00072</t>
  </si>
  <si>
    <t xml:space="preserve">O00073</t>
  </si>
  <si>
    <t xml:space="preserve">O00074</t>
  </si>
  <si>
    <t xml:space="preserve">O00075</t>
  </si>
  <si>
    <t xml:space="preserve">O00076</t>
  </si>
  <si>
    <t xml:space="preserve">O00077</t>
  </si>
  <si>
    <t xml:space="preserve">O00078</t>
  </si>
  <si>
    <t xml:space="preserve">O00079</t>
  </si>
  <si>
    <t xml:space="preserve">O00080</t>
  </si>
  <si>
    <t xml:space="preserve">O00081</t>
  </si>
  <si>
    <t xml:space="preserve">O00082</t>
  </si>
  <si>
    <t xml:space="preserve">O00083</t>
  </si>
  <si>
    <t xml:space="preserve">O00084</t>
  </si>
  <si>
    <t xml:space="preserve">O00085</t>
  </si>
  <si>
    <t xml:space="preserve">O00086</t>
  </si>
  <si>
    <t xml:space="preserve">O00087</t>
  </si>
  <si>
    <t xml:space="preserve">O00088</t>
  </si>
  <si>
    <t xml:space="preserve">O00089</t>
  </si>
  <si>
    <t xml:space="preserve">O00090</t>
  </si>
  <si>
    <t xml:space="preserve">O00091</t>
  </si>
  <si>
    <t xml:space="preserve">O00092</t>
  </si>
  <si>
    <t xml:space="preserve">O00093</t>
  </si>
  <si>
    <t xml:space="preserve">O00094</t>
  </si>
  <si>
    <t xml:space="preserve">O00095</t>
  </si>
  <si>
    <t xml:space="preserve">O00096</t>
  </si>
  <si>
    <t xml:space="preserve">O00097</t>
  </si>
  <si>
    <t xml:space="preserve">O00098</t>
  </si>
  <si>
    <t xml:space="preserve">O00099</t>
  </si>
  <si>
    <t xml:space="preserve">O00100</t>
  </si>
  <si>
    <t xml:space="preserve">✅  AFTER  —  Smart Dispatch System  (Weather + Hidden Load + Queue + Geo Competition + Reliability Signals)</t>
  </si>
  <si>
    <t xml:space="preserve">Predicted KPT
(Smart)</t>
  </si>
  <si>
    <t xml:space="preserve">Weather
Signal (min)</t>
  </si>
  <si>
    <t xml:space="preserve">Complexity
Signal (min)</t>
  </si>
  <si>
    <t xml:space="preserve">Queue
Signal (min)</t>
  </si>
  <si>
    <t xml:space="preserve">Hidden Load
Signal (min)</t>
  </si>
  <si>
    <t xml:space="preserve">Rush
Signal (min)</t>
  </si>
  <si>
    <t xml:space="preserve">Reliability
Score</t>
  </si>
  <si>
    <t xml:space="preserve">Geo Load
Factor</t>
  </si>
  <si>
    <t xml:space="preserve">SIDE-BY-SIDE COMPARISON  —  Before vs After Per Order</t>
  </si>
  <si>
    <t xml:space="preserve">Order</t>
  </si>
  <si>
    <t xml:space="preserve">❌  BEFORE  (Baseline)</t>
  </si>
  <si>
    <t xml:space="preserve">✅  AFTER  (Smart Model)</t>
  </si>
  <si>
    <t xml:space="preserve">📉  IMPROVEMENT</t>
  </si>
  <si>
    <t xml:space="preserve">Pred KPT</t>
  </si>
  <si>
    <t xml:space="preserve">KPT Err</t>
  </si>
  <si>
    <t xml:space="preserve">Rider Wait</t>
  </si>
  <si>
    <t xml:space="preserve">ETA Err</t>
  </si>
  <si>
    <t xml:space="preserve">Delayed?</t>
  </si>
  <si>
    <t xml:space="preserve">KPT Δ</t>
  </si>
  <si>
    <t xml:space="preserve">Rider Wait Δ</t>
  </si>
  <si>
    <t xml:space="preserve">↓ 2</t>
  </si>
  <si>
    <t xml:space="preserve">↑ 2</t>
  </si>
  <si>
    <t xml:space="preserve">↓ 1</t>
  </si>
  <si>
    <t xml:space="preserve">↑ 1</t>
  </si>
  <si>
    <t xml:space="preserve">↓ 3</t>
  </si>
  <si>
    <t xml:space="preserve">↑ 3</t>
  </si>
  <si>
    <t xml:space="preserve">↑ 6</t>
  </si>
  <si>
    <t xml:space="preserve">↓ 7</t>
  </si>
  <si>
    <t xml:space="preserve">↓ 4</t>
  </si>
  <si>
    <t xml:space="preserve">↓ 5</t>
  </si>
  <si>
    <t xml:space="preserve">↓ 9</t>
  </si>
  <si>
    <t xml:space="preserve">↓ 6</t>
  </si>
  <si>
    <t xml:space="preserve">↓ 8</t>
  </si>
  <si>
    <t xml:space="preserve">↓ 10</t>
  </si>
  <si>
    <t xml:space="preserve">↓ 15</t>
  </si>
  <si>
    <t xml:space="preserve">↓ 11</t>
  </si>
  <si>
    <t xml:space="preserve">↓ 17</t>
  </si>
  <si>
    <t xml:space="preserve">📊  SMART DISPATCH IMPACT DASHBOARD  —  Before vs After Signal Analysis</t>
  </si>
  <si>
    <t xml:space="preserve">🔢  OVERALL METRICS</t>
  </si>
  <si>
    <t xml:space="preserve">Metric</t>
  </si>
  <si>
    <t xml:space="preserve">Before</t>
  </si>
  <si>
    <t xml:space="preserve">After</t>
  </si>
  <si>
    <t xml:space="preserve">Improvement</t>
  </si>
  <si>
    <t xml:space="preserve">Avg KPT Abs Error (min)</t>
  </si>
  <si>
    <t xml:space="preserve">↓ 3.8 min</t>
  </si>
  <si>
    <t xml:space="preserve">Avg Rider Wait at Restaurant (min)</t>
  </si>
  <si>
    <t xml:space="preserve">↓ 1.27 min</t>
  </si>
  <si>
    <t xml:space="preserve">Avg ETA Error (min)</t>
  </si>
  <si>
    <t xml:space="preserve">↓ 3.75 min</t>
  </si>
  <si>
    <t xml:space="preserve">Total Orders Delayed</t>
  </si>
  <si>
    <t xml:space="preserve">↓ 25 orders</t>
  </si>
  <si>
    <t xml:space="preserve">Delay Rate</t>
  </si>
  <si>
    <t xml:space="preserve">28.0%</t>
  </si>
  <si>
    <t xml:space="preserve">3.0%</t>
  </si>
  <si>
    <t xml:space="preserve">↓ 25.0pp</t>
  </si>
  <si>
    <t xml:space="preserve">Orders with Zero Rider Wait</t>
  </si>
  <si>
    <t xml:space="preserve">↑ 2 orders</t>
  </si>
  <si>
    <t xml:space="preserve">⚡  NEW SIGNALS INTRODUCED  —  What Each Signal Captures</t>
  </si>
  <si>
    <t xml:space="preserve">Signal</t>
  </si>
  <si>
    <t xml:space="preserve">Column Used</t>
  </si>
  <si>
    <t xml:space="preserve">Avg Impact (min)</t>
  </si>
  <si>
    <t xml:space="preserve">Max Impact (min)</t>
  </si>
  <si>
    <t xml:space="preserve">% Orders Affected</t>
  </si>
  <si>
    <t xml:space="preserve">What It Captures</t>
  </si>
  <si>
    <t xml:space="preserve">Weather Delay</t>
  </si>
  <si>
    <t xml:space="preserve">weather_delay_min</t>
  </si>
  <si>
    <t xml:space="preserve">100.0%</t>
  </si>
  <si>
    <t xml:space="preserve">Rain, extreme heat &amp; storms slowing kitchen throughput</t>
  </si>
  <si>
    <t xml:space="preserve">Complexity Delay</t>
  </si>
  <si>
    <t xml:space="preserve">complexity_delay_min</t>
  </si>
  <si>
    <t xml:space="preserve">83.0%</t>
  </si>
  <si>
    <t xml:space="preserve">Order item count &amp; type affecting prep complexity</t>
  </si>
  <si>
    <t xml:space="preserve">Hidden Load Delay</t>
  </si>
  <si>
    <t xml:space="preserve">hidden_load_delay_min</t>
  </si>
  <si>
    <t xml:space="preserve">Geo competition density creating invisible kitchen pressure</t>
  </si>
  <si>
    <t xml:space="preserve">Queue / Pending Orders</t>
  </si>
  <si>
    <t xml:space="preserve">queue_delay_min</t>
  </si>
  <si>
    <t xml:space="preserve">14.0%</t>
  </si>
  <si>
    <t xml:space="preserve">Pending orders at start of cooking creating queue pressure</t>
  </si>
  <si>
    <t xml:space="preserve">Rush/Peak Load</t>
  </si>
  <si>
    <t xml:space="preserve">rush_delay_min</t>
  </si>
  <si>
    <t xml:space="preserve">Real-time rush index: combined time, day, and order surge</t>
  </si>
  <si>
    <t xml:space="preserve">Restaurant Reliability</t>
  </si>
  <si>
    <t xml:space="preserve">restaurant_reliability</t>
  </si>
  <si>
    <t xml:space="preserve">Historical false-ready rate penalizing unreliable restaurants</t>
  </si>
  <si>
    <t xml:space="preserve">🏪  PER-RESTAURANT IMPACT  —  Before vs After</t>
  </si>
  <si>
    <t xml:space="preserve">Orders</t>
  </si>
  <si>
    <t xml:space="preserve">Avg KPT Err
(Before)</t>
  </si>
  <si>
    <t xml:space="preserve">Avg KPT Err
(After)</t>
  </si>
  <si>
    <t xml:space="preserve">KPT Err Δ</t>
  </si>
  <si>
    <t xml:space="preserve">Avg Rider Wait
(Before)</t>
  </si>
  <si>
    <t xml:space="preserve">Avg Rider Wait
(After)</t>
  </si>
  <si>
    <t xml:space="preserve">Wait Δ</t>
  </si>
  <si>
    <t xml:space="preserve">Delays
(Before)</t>
  </si>
  <si>
    <t xml:space="preserve">Delays
(After)</t>
  </si>
  <si>
    <t xml:space="preserve">Delay Δ</t>
  </si>
  <si>
    <t xml:space="preserve">Best Signal</t>
  </si>
  <si>
    <t xml:space="preserve">↓2.46</t>
  </si>
  <si>
    <t xml:space="preserve">↓0.16</t>
  </si>
  <si>
    <t xml:space="preserve">↓4</t>
  </si>
  <si>
    <t xml:space="preserve">↓4.33</t>
  </si>
  <si>
    <t xml:space="preserve">↓2.12</t>
  </si>
  <si>
    <t xml:space="preserve">↓3</t>
  </si>
  <si>
    <t xml:space="preserve">Rush+Load</t>
  </si>
  <si>
    <t xml:space="preserve">↓5.08</t>
  </si>
  <si>
    <t xml:space="preserve">↓1.77</t>
  </si>
  <si>
    <t xml:space="preserve">↓5</t>
  </si>
  <si>
    <t xml:space="preserve">↓5.75</t>
  </si>
  <si>
    <t xml:space="preserve">↓2.38</t>
  </si>
  <si>
    <t xml:space="preserve">↓4.2</t>
  </si>
  <si>
    <t xml:space="preserve">↓1.2</t>
  </si>
  <si>
    <t xml:space="preserve">↓2</t>
  </si>
  <si>
    <t xml:space="preserve">↓6.0</t>
  </si>
  <si>
    <t xml:space="preserve">↓1.5</t>
  </si>
  <si>
    <t xml:space="preserve">↓1</t>
  </si>
  <si>
    <t xml:space="preserve">↓2.23</t>
  </si>
  <si>
    <t xml:space="preserve">↓0.92</t>
  </si>
  <si>
    <t xml:space="preserve">Reliability</t>
  </si>
  <si>
    <t xml:space="preserve">↓3.4</t>
  </si>
  <si>
    <t xml:space="preserve">↓0.9</t>
  </si>
  <si>
    <t xml:space="preserve">↓3.75</t>
  </si>
  <si>
    <t xml:space="preserve">↓1.42</t>
  </si>
  <si>
    <t xml:space="preserve">↓1.83</t>
  </si>
  <si>
    <t xml:space="preserve">↓0.84</t>
  </si>
  <si>
    <t xml:space="preserve">⚙️  STEP-BY-STEP SIGNAL CALCULATOR  —  How Smart Dispatch Computes KPT</t>
  </si>
  <si>
    <t xml:space="preserve">STEP 1: BASE PREP TIME</t>
  </si>
  <si>
    <t xml:space="preserve">Restaurant Median KPT (min)</t>
  </si>
  <si>
    <t xml:space="preserve">Historical median for this restaurant + time segment</t>
  </si>
  <si>
    <t xml:space="preserve">STEP 2: COMPLEXITY ADJUSTMENT</t>
  </si>
  <si>
    <t xml:space="preserve">Items in Order</t>
  </si>
  <si>
    <t xml:space="preserve">Number of distinct items ordered</t>
  </si>
  <si>
    <t xml:space="preserve">Complexity Delay (min)</t>
  </si>
  <si>
    <t xml:space="preserve">Each extra item adds 1.5 min</t>
  </si>
  <si>
    <t xml:space="preserve">Adjusted Prep (min)</t>
  </si>
  <si>
    <t xml:space="preserve">Base + complexity</t>
  </si>
  <si>
    <t xml:space="preserve">STEP 3: ENVIRONMENTAL MULTIPLIERS</t>
  </si>
  <si>
    <t xml:space="preserve">Light Rain</t>
  </si>
  <si>
    <t xml:space="preserve">clear / light_rain / heavy_rain / extreme_heat</t>
  </si>
  <si>
    <t xml:space="preserve">Weather Multiplier</t>
  </si>
  <si>
    <t xml:space="preserve">Applied multiplier</t>
  </si>
  <si>
    <t xml:space="preserve">Prep after Weather (min)</t>
  </si>
  <si>
    <t xml:space="preserve">STEP 4: HIDDEN LOAD ESTIMATION</t>
  </si>
  <si>
    <t xml:space="preserve">Pending Orders at Start</t>
  </si>
  <si>
    <t xml:space="preserve">Queue depth when chef starts</t>
  </si>
  <si>
    <t xml:space="preserve">Queue Load Factor</t>
  </si>
  <si>
    <t xml:space="preserve">1 + 0.1 per pending order</t>
  </si>
  <si>
    <t xml:space="preserve">Geo Competitor Density (restaurants)</t>
  </si>
  <si>
    <t xml:space="preserve">Area restaurant density</t>
  </si>
  <si>
    <t xml:space="preserve">Geo Factor</t>
  </si>
  <si>
    <t xml:space="preserve">Slight upward pressure from competition</t>
  </si>
  <si>
    <t xml:space="preserve">Combined Load</t>
  </si>
  <si>
    <t xml:space="preserve">Final Prep (min)</t>
  </si>
  <si>
    <t xml:space="preserve">After all load factors</t>
  </si>
  <si>
    <t xml:space="preserve">STEP 5: DISPATCH THRESHOLD</t>
  </si>
  <si>
    <t xml:space="preserve">Base Threshold</t>
  </si>
  <si>
    <t xml:space="preserve">Default dispatch fraction</t>
  </si>
  <si>
    <t xml:space="preserve">Rider Availability (0-1)</t>
  </si>
  <si>
    <t xml:space="preserve">Current rider pool utilization</t>
  </si>
  <si>
    <t xml:space="preserve">Availability Adjustment</t>
  </si>
  <si>
    <t xml:space="preserve">High demand → dispatch earlier</t>
  </si>
  <si>
    <t xml:space="preserve">Weather Adjustment</t>
  </si>
  <si>
    <t xml:space="preserve">Bad weather → earlier dispatch</t>
  </si>
  <si>
    <t xml:space="preserve">Reliability Score</t>
  </si>
  <si>
    <t xml:space="preserve">Restaurant reliability 0–1</t>
  </si>
  <si>
    <t xml:space="preserve">Reliability Adjustment</t>
  </si>
  <si>
    <t xml:space="preserve">Unreliable → earlier dispatch</t>
  </si>
  <si>
    <t xml:space="preserve">Final Threshold</t>
  </si>
  <si>
    <t xml:space="preserve">Floored at 0.35</t>
  </si>
  <si>
    <t xml:space="preserve">STEP 6: DISPATCH DECISION</t>
  </si>
  <si>
    <t xml:space="preserve">Final Predicted KPT (min)</t>
  </si>
  <si>
    <t xml:space="preserve">From Step 4</t>
  </si>
  <si>
    <t xml:space="preserve">Dispatch Threshold</t>
  </si>
  <si>
    <t xml:space="preserve">From Step 5</t>
  </si>
  <si>
    <t xml:space="preserve">Dispatch Offset (min after cooking start)</t>
  </si>
  <si>
    <t xml:space="preserve">When to dispatch rider</t>
  </si>
  <si>
    <t xml:space="preserve">Rider Travel Time (min)</t>
  </si>
  <si>
    <t xml:space="preserve">Estimated travel to restaurant</t>
  </si>
  <si>
    <t xml:space="preserve">Rider Arrives (min after start)</t>
  </si>
  <si>
    <t xml:space="preserve">Rider Wait (min)</t>
  </si>
  <si>
    <t xml:space="preserve">Should be ~0 in perfect scenario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</si>
</sst>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66573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C0392B"/>
        <bgColor rgb="FFE74C3C"/>
      </patternFill>
    </fill>
    <fill>
      <patternFill patternType="solid">
        <fgColor rgb="FFE74C3C"/>
        <bgColor rgb="FFD35400"/>
      </patternFill>
    </fill>
    <fill>
      <patternFill patternType="solid">
        <fgColor rgb="FFFDFEFE"/>
        <bgColor rgb="FFFFFFFF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1E8449"/>
        <bgColor rgb="FF229900"/>
      </patternFill>
    </fill>
    <fill>
      <patternFill patternType="solid">
        <fgColor rgb="FFF9FFF9"/>
        <bgColor rgb="FFFDFEFE"/>
      </patternFill>
    </fill>
    <fill>
      <patternFill patternType="solid">
        <fgColor rgb="FFD5F5E3"/>
        <bgColor rgb="FFD6EAF8"/>
      </patternFill>
    </fill>
    <fill>
      <patternFill patternType="solid">
        <fgColor rgb="FF2C3E50"/>
        <bgColor rgb="FF1A5276"/>
      </patternFill>
    </fill>
    <fill>
      <patternFill patternType="solid">
        <fgColor rgb="FF566573"/>
        <bgColor rgb="FF808080"/>
      </patternFill>
    </fill>
    <fill>
      <patternFill patternType="solid">
        <fgColor rgb="FF1A5276"/>
        <bgColor rgb="FF2C3E50"/>
      </patternFill>
    </fill>
    <fill>
      <patternFill patternType="solid">
        <fgColor rgb="FF2980B9"/>
        <bgColor rgb="FF0066CC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5F5E3"/>
      </patternFill>
    </fill>
    <fill>
      <patternFill patternType="solid">
        <fgColor rgb="FFF39C12"/>
        <bgColor rgb="FFFFCC00"/>
      </patternFill>
    </fill>
    <fill>
      <patternFill patternType="solid">
        <fgColor rgb="FFFEF9E7"/>
        <bgColor rgb="FFF9FFF9"/>
      </patternFill>
    </fill>
    <fill>
      <patternFill patternType="solid">
        <fgColor rgb="FF109900"/>
        <bgColor rgb="FF229900"/>
      </patternFill>
    </fill>
    <fill>
      <patternFill patternType="solid">
        <fgColor rgb="FF229900"/>
        <bgColor rgb="FF10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9900"/>
      <rgbColor rgb="FF000080"/>
      <rgbColor rgb="FF229900"/>
      <rgbColor rgb="FF800080"/>
      <rgbColor rgb="FF1E8449"/>
      <rgbColor rgb="FFF9FFF9"/>
      <rgbColor rgb="FF808080"/>
      <rgbColor rgb="FF9999FF"/>
      <rgbColor rgb="FF8E44AD"/>
      <rgbColor rgb="FFFEF9E7"/>
      <rgbColor rgb="FFD6EAF8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2F3F4"/>
      <rgbColor rgb="FFD5F5E3"/>
      <rgbColor rgb="FFFDEBD0"/>
      <rgbColor rgb="FFFDFEFE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D35400"/>
      <rgbColor rgb="FF566573"/>
      <rgbColor rgb="FF969696"/>
      <rgbColor rgb="FF1A5276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P1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2" min="9" style="0" width="9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4" t="s">
        <v>19</v>
      </c>
      <c r="D3" s="4" t="n">
        <v>29</v>
      </c>
      <c r="E3" s="4" t="n">
        <v>34</v>
      </c>
      <c r="F3" s="4" t="n">
        <v>5</v>
      </c>
      <c r="G3" s="4" t="n">
        <v>0.75</v>
      </c>
      <c r="H3" s="4" t="n">
        <v>26</v>
      </c>
      <c r="I3" s="4" t="n">
        <v>8</v>
      </c>
      <c r="J3" s="4" t="n">
        <v>0</v>
      </c>
      <c r="K3" s="4" t="n">
        <v>5</v>
      </c>
      <c r="L3" s="4" t="s">
        <v>20</v>
      </c>
      <c r="M3" s="4" t="s">
        <v>21</v>
      </c>
      <c r="N3" s="4" t="n">
        <v>2</v>
      </c>
      <c r="O3" s="4" t="n">
        <v>0</v>
      </c>
      <c r="P3" s="4" t="n">
        <v>1.76</v>
      </c>
    </row>
    <row r="4" customFormat="false" ht="15" hidden="false" customHeight="false" outlineLevel="0" collapsed="false">
      <c r="A4" s="5" t="s">
        <v>22</v>
      </c>
      <c r="B4" s="5" t="s">
        <v>23</v>
      </c>
      <c r="C4" s="6" t="s">
        <v>24</v>
      </c>
      <c r="D4" s="6" t="n">
        <v>15</v>
      </c>
      <c r="E4" s="6" t="n">
        <v>11</v>
      </c>
      <c r="F4" s="6" t="n">
        <v>4</v>
      </c>
      <c r="G4" s="6" t="n">
        <v>0.75</v>
      </c>
      <c r="H4" s="6" t="n">
        <v>8</v>
      </c>
      <c r="I4" s="6" t="n">
        <v>13</v>
      </c>
      <c r="J4" s="6" t="n">
        <v>0</v>
      </c>
      <c r="K4" s="6" t="n">
        <v>5</v>
      </c>
      <c r="L4" s="6" t="s">
        <v>20</v>
      </c>
      <c r="M4" s="6" t="s">
        <v>25</v>
      </c>
      <c r="N4" s="6" t="n">
        <v>5</v>
      </c>
      <c r="O4" s="6" t="n">
        <v>0</v>
      </c>
      <c r="P4" s="6" t="n">
        <v>0.68</v>
      </c>
    </row>
    <row r="5" customFormat="false" ht="15" hidden="false" customHeight="false" outlineLevel="0" collapsed="false">
      <c r="A5" s="3" t="s">
        <v>26</v>
      </c>
      <c r="B5" s="3" t="s">
        <v>23</v>
      </c>
      <c r="C5" s="4" t="s">
        <v>24</v>
      </c>
      <c r="D5" s="4" t="n">
        <v>22</v>
      </c>
      <c r="E5" s="4" t="n">
        <v>15</v>
      </c>
      <c r="F5" s="4" t="n">
        <v>7</v>
      </c>
      <c r="G5" s="4" t="n">
        <v>0.75</v>
      </c>
      <c r="H5" s="4" t="n">
        <v>11</v>
      </c>
      <c r="I5" s="4" t="n">
        <v>8</v>
      </c>
      <c r="J5" s="7" t="n">
        <v>3</v>
      </c>
      <c r="K5" s="4" t="n">
        <v>8</v>
      </c>
      <c r="L5" s="4" t="s">
        <v>20</v>
      </c>
      <c r="M5" s="4" t="s">
        <v>27</v>
      </c>
      <c r="N5" s="4" t="n">
        <v>4</v>
      </c>
      <c r="O5" s="4" t="n">
        <v>1</v>
      </c>
      <c r="P5" s="4" t="n">
        <v>0.99</v>
      </c>
    </row>
    <row r="6" customFormat="false" ht="15" hidden="false" customHeight="false" outlineLevel="0" collapsed="false">
      <c r="A6" s="5" t="s">
        <v>28</v>
      </c>
      <c r="B6" s="5" t="s">
        <v>29</v>
      </c>
      <c r="C6" s="6" t="s">
        <v>30</v>
      </c>
      <c r="D6" s="6" t="n">
        <v>13</v>
      </c>
      <c r="E6" s="6" t="n">
        <v>13</v>
      </c>
      <c r="F6" s="6" t="n">
        <v>0</v>
      </c>
      <c r="G6" s="6" t="n">
        <v>0.75</v>
      </c>
      <c r="H6" s="6" t="n">
        <v>10</v>
      </c>
      <c r="I6" s="6" t="n">
        <v>15</v>
      </c>
      <c r="J6" s="6" t="n">
        <v>0</v>
      </c>
      <c r="K6" s="6" t="n">
        <v>1</v>
      </c>
      <c r="L6" s="6" t="s">
        <v>20</v>
      </c>
      <c r="M6" s="6" t="s">
        <v>21</v>
      </c>
      <c r="N6" s="6" t="n">
        <v>2</v>
      </c>
      <c r="O6" s="6" t="n">
        <v>0</v>
      </c>
      <c r="P6" s="6" t="n">
        <v>0.79</v>
      </c>
    </row>
    <row r="7" customFormat="false" ht="15" hidden="false" customHeight="false" outlineLevel="0" collapsed="false">
      <c r="A7" s="3" t="s">
        <v>31</v>
      </c>
      <c r="B7" s="3" t="s">
        <v>32</v>
      </c>
      <c r="C7" s="4" t="s">
        <v>33</v>
      </c>
      <c r="D7" s="4" t="n">
        <v>11</v>
      </c>
      <c r="E7" s="4" t="n">
        <v>9</v>
      </c>
      <c r="F7" s="4" t="n">
        <v>2</v>
      </c>
      <c r="G7" s="4" t="n">
        <v>0.75</v>
      </c>
      <c r="H7" s="4" t="n">
        <v>7</v>
      </c>
      <c r="I7" s="4" t="n">
        <v>10</v>
      </c>
      <c r="J7" s="4" t="n">
        <v>0</v>
      </c>
      <c r="K7" s="4" t="n">
        <v>2</v>
      </c>
      <c r="L7" s="4" t="s">
        <v>20</v>
      </c>
      <c r="M7" s="4" t="s">
        <v>21</v>
      </c>
      <c r="N7" s="4" t="n">
        <v>2</v>
      </c>
      <c r="O7" s="4" t="n">
        <v>0</v>
      </c>
      <c r="P7" s="4" t="n">
        <v>1.28</v>
      </c>
    </row>
    <row r="8" customFormat="false" ht="15" hidden="false" customHeight="false" outlineLevel="0" collapsed="false">
      <c r="A8" s="5" t="s">
        <v>34</v>
      </c>
      <c r="B8" s="5" t="s">
        <v>23</v>
      </c>
      <c r="C8" s="6" t="s">
        <v>24</v>
      </c>
      <c r="D8" s="6" t="n">
        <v>17</v>
      </c>
      <c r="E8" s="6" t="n">
        <v>11</v>
      </c>
      <c r="F8" s="6" t="n">
        <v>6</v>
      </c>
      <c r="G8" s="6" t="n">
        <v>0.75</v>
      </c>
      <c r="H8" s="6" t="n">
        <v>8</v>
      </c>
      <c r="I8" s="6" t="n">
        <v>17</v>
      </c>
      <c r="J8" s="6" t="n">
        <v>0</v>
      </c>
      <c r="K8" s="6" t="n">
        <v>6</v>
      </c>
      <c r="L8" s="6" t="s">
        <v>20</v>
      </c>
      <c r="M8" s="6" t="s">
        <v>21</v>
      </c>
      <c r="N8" s="6" t="n">
        <v>5</v>
      </c>
      <c r="O8" s="6" t="n">
        <v>0</v>
      </c>
      <c r="P8" s="6" t="n">
        <v>1.89</v>
      </c>
    </row>
    <row r="9" customFormat="false" ht="15" hidden="false" customHeight="false" outlineLevel="0" collapsed="false">
      <c r="A9" s="3" t="s">
        <v>35</v>
      </c>
      <c r="B9" s="3" t="s">
        <v>32</v>
      </c>
      <c r="C9" s="4" t="s">
        <v>33</v>
      </c>
      <c r="D9" s="4" t="n">
        <v>12</v>
      </c>
      <c r="E9" s="4" t="n">
        <v>9</v>
      </c>
      <c r="F9" s="4" t="n">
        <v>3</v>
      </c>
      <c r="G9" s="4" t="n">
        <v>0.75</v>
      </c>
      <c r="H9" s="4" t="n">
        <v>7</v>
      </c>
      <c r="I9" s="4" t="n">
        <v>13</v>
      </c>
      <c r="J9" s="4" t="n">
        <v>0</v>
      </c>
      <c r="K9" s="4" t="n">
        <v>2</v>
      </c>
      <c r="L9" s="4" t="s">
        <v>20</v>
      </c>
      <c r="M9" s="4" t="s">
        <v>36</v>
      </c>
      <c r="N9" s="4" t="n">
        <v>3</v>
      </c>
      <c r="O9" s="4" t="n">
        <v>0</v>
      </c>
      <c r="P9" s="4" t="n">
        <v>2.22</v>
      </c>
    </row>
    <row r="10" customFormat="false" ht="15" hidden="false" customHeight="false" outlineLevel="0" collapsed="false">
      <c r="A10" s="5" t="s">
        <v>37</v>
      </c>
      <c r="B10" s="5" t="s">
        <v>38</v>
      </c>
      <c r="C10" s="6" t="s">
        <v>39</v>
      </c>
      <c r="D10" s="6" t="n">
        <v>24</v>
      </c>
      <c r="E10" s="6" t="n">
        <v>26</v>
      </c>
      <c r="F10" s="6" t="n">
        <v>2</v>
      </c>
      <c r="G10" s="6" t="n">
        <v>0.75</v>
      </c>
      <c r="H10" s="6" t="n">
        <v>20</v>
      </c>
      <c r="I10" s="6" t="n">
        <v>12</v>
      </c>
      <c r="J10" s="6" t="n">
        <v>0</v>
      </c>
      <c r="K10" s="6" t="n">
        <v>3</v>
      </c>
      <c r="L10" s="6" t="s">
        <v>20</v>
      </c>
      <c r="M10" s="6" t="s">
        <v>21</v>
      </c>
      <c r="N10" s="6" t="n">
        <v>2</v>
      </c>
      <c r="O10" s="6" t="n">
        <v>0</v>
      </c>
      <c r="P10" s="6" t="n">
        <v>1.54</v>
      </c>
    </row>
    <row r="11" customFormat="false" ht="15" hidden="false" customHeight="false" outlineLevel="0" collapsed="false">
      <c r="A11" s="3" t="s">
        <v>40</v>
      </c>
      <c r="B11" s="3" t="s">
        <v>29</v>
      </c>
      <c r="C11" s="4" t="s">
        <v>30</v>
      </c>
      <c r="D11" s="4" t="n">
        <v>17</v>
      </c>
      <c r="E11" s="4" t="n">
        <v>19</v>
      </c>
      <c r="F11" s="4" t="n">
        <v>2</v>
      </c>
      <c r="G11" s="4" t="n">
        <v>0.75</v>
      </c>
      <c r="H11" s="4" t="n">
        <v>14</v>
      </c>
      <c r="I11" s="4" t="n">
        <v>6</v>
      </c>
      <c r="J11" s="4" t="n">
        <v>0</v>
      </c>
      <c r="K11" s="4" t="n">
        <v>1</v>
      </c>
      <c r="L11" s="4" t="s">
        <v>20</v>
      </c>
      <c r="M11" s="4" t="s">
        <v>36</v>
      </c>
      <c r="N11" s="4" t="n">
        <v>4</v>
      </c>
      <c r="O11" s="4" t="n">
        <v>0</v>
      </c>
      <c r="P11" s="4" t="n">
        <v>0.75</v>
      </c>
    </row>
    <row r="12" customFormat="false" ht="15" hidden="false" customHeight="false" outlineLevel="0" collapsed="false">
      <c r="A12" s="5" t="s">
        <v>41</v>
      </c>
      <c r="B12" s="5" t="s">
        <v>42</v>
      </c>
      <c r="C12" s="6" t="s">
        <v>43</v>
      </c>
      <c r="D12" s="6" t="n">
        <v>33</v>
      </c>
      <c r="E12" s="6" t="n">
        <v>29</v>
      </c>
      <c r="F12" s="6" t="n">
        <v>4</v>
      </c>
      <c r="G12" s="6" t="n">
        <v>0.75</v>
      </c>
      <c r="H12" s="6" t="n">
        <v>22</v>
      </c>
      <c r="I12" s="6" t="n">
        <v>10</v>
      </c>
      <c r="J12" s="7" t="n">
        <v>1</v>
      </c>
      <c r="K12" s="6" t="n">
        <v>4</v>
      </c>
      <c r="L12" s="6" t="s">
        <v>20</v>
      </c>
      <c r="M12" s="6" t="s">
        <v>44</v>
      </c>
      <c r="N12" s="6" t="n">
        <v>3</v>
      </c>
      <c r="O12" s="6" t="n">
        <v>0</v>
      </c>
      <c r="P12" s="6" t="n">
        <v>2.46</v>
      </c>
    </row>
    <row r="13" customFormat="false" ht="15" hidden="false" customHeight="false" outlineLevel="0" collapsed="false">
      <c r="A13" s="3" t="s">
        <v>45</v>
      </c>
      <c r="B13" s="3" t="s">
        <v>23</v>
      </c>
      <c r="C13" s="4" t="s">
        <v>24</v>
      </c>
      <c r="D13" s="4" t="n">
        <v>12</v>
      </c>
      <c r="E13" s="4" t="n">
        <v>10</v>
      </c>
      <c r="F13" s="4" t="n">
        <v>2</v>
      </c>
      <c r="G13" s="4" t="n">
        <v>0.75</v>
      </c>
      <c r="H13" s="4" t="n">
        <v>8</v>
      </c>
      <c r="I13" s="4" t="n">
        <v>4</v>
      </c>
      <c r="J13" s="4" t="n">
        <v>0</v>
      </c>
      <c r="K13" s="4" t="n">
        <v>1</v>
      </c>
      <c r="L13" s="4" t="s">
        <v>20</v>
      </c>
      <c r="M13" s="4" t="s">
        <v>44</v>
      </c>
      <c r="N13" s="4" t="n">
        <v>2</v>
      </c>
      <c r="O13" s="4" t="n">
        <v>0</v>
      </c>
      <c r="P13" s="4" t="n">
        <v>1.05</v>
      </c>
    </row>
    <row r="14" customFormat="false" ht="15" hidden="false" customHeight="false" outlineLevel="0" collapsed="false">
      <c r="A14" s="5" t="s">
        <v>46</v>
      </c>
      <c r="B14" s="5" t="s">
        <v>47</v>
      </c>
      <c r="C14" s="6" t="s">
        <v>48</v>
      </c>
      <c r="D14" s="6" t="n">
        <v>27</v>
      </c>
      <c r="E14" s="6" t="n">
        <v>19</v>
      </c>
      <c r="F14" s="8" t="n">
        <v>8</v>
      </c>
      <c r="G14" s="6" t="n">
        <v>0.75</v>
      </c>
      <c r="H14" s="6" t="n">
        <v>14</v>
      </c>
      <c r="I14" s="6" t="n">
        <v>12</v>
      </c>
      <c r="J14" s="7" t="n">
        <v>1</v>
      </c>
      <c r="K14" s="6" t="n">
        <v>7</v>
      </c>
      <c r="L14" s="6" t="s">
        <v>20</v>
      </c>
      <c r="M14" s="6" t="s">
        <v>21</v>
      </c>
      <c r="N14" s="6" t="n">
        <v>5</v>
      </c>
      <c r="O14" s="6" t="n">
        <v>0</v>
      </c>
      <c r="P14" s="6" t="n">
        <v>1.26</v>
      </c>
    </row>
    <row r="15" customFormat="false" ht="15" hidden="false" customHeight="false" outlineLevel="0" collapsed="false">
      <c r="A15" s="3" t="s">
        <v>49</v>
      </c>
      <c r="B15" s="3" t="s">
        <v>18</v>
      </c>
      <c r="C15" s="4" t="s">
        <v>19</v>
      </c>
      <c r="D15" s="4" t="n">
        <v>35</v>
      </c>
      <c r="E15" s="4" t="n">
        <v>31</v>
      </c>
      <c r="F15" s="4" t="n">
        <v>4</v>
      </c>
      <c r="G15" s="4" t="n">
        <v>0.75</v>
      </c>
      <c r="H15" s="4" t="n">
        <v>23</v>
      </c>
      <c r="I15" s="4" t="n">
        <v>6</v>
      </c>
      <c r="J15" s="7" t="n">
        <v>6</v>
      </c>
      <c r="K15" s="4" t="n">
        <v>3</v>
      </c>
      <c r="L15" s="4" t="s">
        <v>20</v>
      </c>
      <c r="M15" s="4" t="s">
        <v>44</v>
      </c>
      <c r="N15" s="4" t="n">
        <v>4</v>
      </c>
      <c r="O15" s="4" t="n">
        <v>0</v>
      </c>
      <c r="P15" s="4" t="n">
        <v>1.1</v>
      </c>
    </row>
    <row r="16" customFormat="false" ht="15" hidden="false" customHeight="false" outlineLevel="0" collapsed="false">
      <c r="A16" s="5" t="s">
        <v>50</v>
      </c>
      <c r="B16" s="5" t="s">
        <v>51</v>
      </c>
      <c r="C16" s="6" t="s">
        <v>52</v>
      </c>
      <c r="D16" s="6" t="n">
        <v>23</v>
      </c>
      <c r="E16" s="6" t="n">
        <v>18</v>
      </c>
      <c r="F16" s="6" t="n">
        <v>5</v>
      </c>
      <c r="G16" s="6" t="n">
        <v>0.75</v>
      </c>
      <c r="H16" s="6" t="n">
        <v>14</v>
      </c>
      <c r="I16" s="6" t="n">
        <v>9</v>
      </c>
      <c r="J16" s="6" t="n">
        <v>0</v>
      </c>
      <c r="K16" s="6" t="n">
        <v>6</v>
      </c>
      <c r="L16" s="6" t="s">
        <v>20</v>
      </c>
      <c r="M16" s="6" t="s">
        <v>36</v>
      </c>
      <c r="N16" s="6" t="n">
        <v>1</v>
      </c>
      <c r="O16" s="6" t="n">
        <v>0</v>
      </c>
      <c r="P16" s="6" t="n">
        <v>2.44</v>
      </c>
    </row>
    <row r="17" customFormat="false" ht="15" hidden="false" customHeight="false" outlineLevel="0" collapsed="false">
      <c r="A17" s="3" t="s">
        <v>53</v>
      </c>
      <c r="B17" s="3" t="s">
        <v>42</v>
      </c>
      <c r="C17" s="4" t="s">
        <v>43</v>
      </c>
      <c r="D17" s="4" t="n">
        <v>33</v>
      </c>
      <c r="E17" s="4" t="n">
        <v>35</v>
      </c>
      <c r="F17" s="4" t="n">
        <v>2</v>
      </c>
      <c r="G17" s="4" t="n">
        <v>0.75</v>
      </c>
      <c r="H17" s="4" t="n">
        <v>26</v>
      </c>
      <c r="I17" s="4" t="n">
        <v>7</v>
      </c>
      <c r="J17" s="4" t="n">
        <v>0</v>
      </c>
      <c r="K17" s="4" t="n">
        <v>2</v>
      </c>
      <c r="L17" s="4" t="s">
        <v>20</v>
      </c>
      <c r="M17" s="4" t="s">
        <v>21</v>
      </c>
      <c r="N17" s="4" t="n">
        <v>2</v>
      </c>
      <c r="O17" s="4" t="n">
        <v>0</v>
      </c>
      <c r="P17" s="4" t="n">
        <v>2.48</v>
      </c>
    </row>
    <row r="18" customFormat="false" ht="15" hidden="false" customHeight="false" outlineLevel="0" collapsed="false">
      <c r="A18" s="5" t="s">
        <v>54</v>
      </c>
      <c r="B18" s="5" t="s">
        <v>55</v>
      </c>
      <c r="C18" s="6" t="s">
        <v>56</v>
      </c>
      <c r="D18" s="6" t="n">
        <v>25</v>
      </c>
      <c r="E18" s="6" t="n">
        <v>26</v>
      </c>
      <c r="F18" s="6" t="n">
        <v>1</v>
      </c>
      <c r="G18" s="6" t="n">
        <v>0.75</v>
      </c>
      <c r="H18" s="6" t="n">
        <v>20</v>
      </c>
      <c r="I18" s="6" t="n">
        <v>8</v>
      </c>
      <c r="J18" s="6" t="n">
        <v>0</v>
      </c>
      <c r="K18" s="6" t="n">
        <v>0</v>
      </c>
      <c r="L18" s="6" t="s">
        <v>20</v>
      </c>
      <c r="M18" s="6" t="s">
        <v>44</v>
      </c>
      <c r="N18" s="6" t="n">
        <v>2</v>
      </c>
      <c r="O18" s="6" t="n">
        <v>0</v>
      </c>
      <c r="P18" s="6" t="n">
        <v>0.84</v>
      </c>
    </row>
    <row r="19" customFormat="false" ht="15" hidden="false" customHeight="false" outlineLevel="0" collapsed="false">
      <c r="A19" s="3" t="s">
        <v>57</v>
      </c>
      <c r="B19" s="3" t="s">
        <v>42</v>
      </c>
      <c r="C19" s="4" t="s">
        <v>43</v>
      </c>
      <c r="D19" s="4" t="n">
        <v>33</v>
      </c>
      <c r="E19" s="4" t="n">
        <v>26</v>
      </c>
      <c r="F19" s="4" t="n">
        <v>7</v>
      </c>
      <c r="G19" s="4" t="n">
        <v>0.75</v>
      </c>
      <c r="H19" s="4" t="n">
        <v>20</v>
      </c>
      <c r="I19" s="4" t="n">
        <v>4</v>
      </c>
      <c r="J19" s="7" t="n">
        <v>9</v>
      </c>
      <c r="K19" s="4" t="n">
        <v>8</v>
      </c>
      <c r="L19" s="4" t="s">
        <v>20</v>
      </c>
      <c r="M19" s="4" t="s">
        <v>36</v>
      </c>
      <c r="N19" s="4" t="n">
        <v>1</v>
      </c>
      <c r="O19" s="4" t="n">
        <v>0</v>
      </c>
      <c r="P19" s="4" t="n">
        <v>2.03</v>
      </c>
    </row>
    <row r="20" customFormat="false" ht="15" hidden="false" customHeight="false" outlineLevel="0" collapsed="false">
      <c r="A20" s="5" t="s">
        <v>58</v>
      </c>
      <c r="B20" s="5" t="s">
        <v>55</v>
      </c>
      <c r="C20" s="6" t="s">
        <v>56</v>
      </c>
      <c r="D20" s="6" t="n">
        <v>28</v>
      </c>
      <c r="E20" s="6" t="n">
        <v>28</v>
      </c>
      <c r="F20" s="6" t="n">
        <v>0</v>
      </c>
      <c r="G20" s="6" t="n">
        <v>0.75</v>
      </c>
      <c r="H20" s="6" t="n">
        <v>21</v>
      </c>
      <c r="I20" s="6" t="n">
        <v>10</v>
      </c>
      <c r="J20" s="6" t="n">
        <v>0</v>
      </c>
      <c r="K20" s="6" t="n">
        <v>0</v>
      </c>
      <c r="L20" s="6" t="s">
        <v>20</v>
      </c>
      <c r="M20" s="6" t="s">
        <v>25</v>
      </c>
      <c r="N20" s="6" t="n">
        <v>1</v>
      </c>
      <c r="O20" s="6" t="n">
        <v>0</v>
      </c>
      <c r="P20" s="6" t="n">
        <v>0.8</v>
      </c>
    </row>
    <row r="21" customFormat="false" ht="15" hidden="false" customHeight="false" outlineLevel="0" collapsed="false">
      <c r="A21" s="3" t="s">
        <v>59</v>
      </c>
      <c r="B21" s="3" t="s">
        <v>38</v>
      </c>
      <c r="C21" s="4" t="s">
        <v>39</v>
      </c>
      <c r="D21" s="4" t="n">
        <v>30</v>
      </c>
      <c r="E21" s="4" t="n">
        <v>24</v>
      </c>
      <c r="F21" s="4" t="n">
        <v>6</v>
      </c>
      <c r="G21" s="4" t="n">
        <v>0.75</v>
      </c>
      <c r="H21" s="4" t="n">
        <v>18</v>
      </c>
      <c r="I21" s="4" t="n">
        <v>7</v>
      </c>
      <c r="J21" s="7" t="n">
        <v>5</v>
      </c>
      <c r="K21" s="4" t="n">
        <v>6</v>
      </c>
      <c r="L21" s="4" t="s">
        <v>20</v>
      </c>
      <c r="M21" s="4" t="s">
        <v>36</v>
      </c>
      <c r="N21" s="4" t="n">
        <v>5</v>
      </c>
      <c r="O21" s="4" t="n">
        <v>0</v>
      </c>
      <c r="P21" s="4" t="n">
        <v>0.61</v>
      </c>
    </row>
    <row r="22" customFormat="false" ht="15" hidden="false" customHeight="false" outlineLevel="0" collapsed="false">
      <c r="A22" s="5" t="s">
        <v>60</v>
      </c>
      <c r="B22" s="5" t="s">
        <v>51</v>
      </c>
      <c r="C22" s="6" t="s">
        <v>52</v>
      </c>
      <c r="D22" s="6" t="n">
        <v>26</v>
      </c>
      <c r="E22" s="6" t="n">
        <v>18</v>
      </c>
      <c r="F22" s="8" t="n">
        <v>8</v>
      </c>
      <c r="G22" s="6" t="n">
        <v>0.75</v>
      </c>
      <c r="H22" s="6" t="n">
        <v>14</v>
      </c>
      <c r="I22" s="6" t="n">
        <v>7</v>
      </c>
      <c r="J22" s="7" t="n">
        <v>5</v>
      </c>
      <c r="K22" s="6" t="n">
        <v>8</v>
      </c>
      <c r="L22" s="6" t="s">
        <v>20</v>
      </c>
      <c r="M22" s="6" t="s">
        <v>44</v>
      </c>
      <c r="N22" s="6" t="n">
        <v>5</v>
      </c>
      <c r="O22" s="6" t="n">
        <v>0</v>
      </c>
      <c r="P22" s="6" t="n">
        <v>1.92</v>
      </c>
    </row>
    <row r="23" customFormat="false" ht="15" hidden="false" customHeight="false" outlineLevel="0" collapsed="false">
      <c r="A23" s="3" t="s">
        <v>61</v>
      </c>
      <c r="B23" s="3" t="s">
        <v>42</v>
      </c>
      <c r="C23" s="4" t="s">
        <v>43</v>
      </c>
      <c r="D23" s="4" t="n">
        <v>34</v>
      </c>
      <c r="E23" s="4" t="n">
        <v>34</v>
      </c>
      <c r="F23" s="4" t="n">
        <v>0</v>
      </c>
      <c r="G23" s="4" t="n">
        <v>0.75</v>
      </c>
      <c r="H23" s="4" t="n">
        <v>26</v>
      </c>
      <c r="I23" s="4" t="n">
        <v>6</v>
      </c>
      <c r="J23" s="7" t="n">
        <v>2</v>
      </c>
      <c r="K23" s="4" t="n">
        <v>1</v>
      </c>
      <c r="L23" s="4" t="s">
        <v>20</v>
      </c>
      <c r="M23" s="4" t="s">
        <v>36</v>
      </c>
      <c r="N23" s="4" t="n">
        <v>1</v>
      </c>
      <c r="O23" s="4" t="n">
        <v>0</v>
      </c>
      <c r="P23" s="4" t="n">
        <v>2.4</v>
      </c>
    </row>
    <row r="24" customFormat="false" ht="15" hidden="false" customHeight="false" outlineLevel="0" collapsed="false">
      <c r="A24" s="5" t="s">
        <v>62</v>
      </c>
      <c r="B24" s="5" t="s">
        <v>38</v>
      </c>
      <c r="C24" s="6" t="s">
        <v>39</v>
      </c>
      <c r="D24" s="6" t="n">
        <v>26</v>
      </c>
      <c r="E24" s="6" t="n">
        <v>17</v>
      </c>
      <c r="F24" s="8" t="n">
        <v>9</v>
      </c>
      <c r="G24" s="6" t="n">
        <v>0.75</v>
      </c>
      <c r="H24" s="6" t="n">
        <v>13</v>
      </c>
      <c r="I24" s="6" t="n">
        <v>17</v>
      </c>
      <c r="J24" s="6" t="n">
        <v>0</v>
      </c>
      <c r="K24" s="6" t="n">
        <v>9</v>
      </c>
      <c r="L24" s="6" t="s">
        <v>20</v>
      </c>
      <c r="M24" s="6" t="s">
        <v>44</v>
      </c>
      <c r="N24" s="6" t="n">
        <v>3</v>
      </c>
      <c r="O24" s="6" t="n">
        <v>0</v>
      </c>
      <c r="P24" s="6" t="n">
        <v>2.81</v>
      </c>
    </row>
    <row r="25" customFormat="false" ht="15" hidden="false" customHeight="false" outlineLevel="0" collapsed="false">
      <c r="A25" s="3" t="s">
        <v>63</v>
      </c>
      <c r="B25" s="3" t="s">
        <v>23</v>
      </c>
      <c r="C25" s="4" t="s">
        <v>24</v>
      </c>
      <c r="D25" s="4" t="n">
        <v>23</v>
      </c>
      <c r="E25" s="4" t="n">
        <v>11</v>
      </c>
      <c r="F25" s="8" t="n">
        <v>12</v>
      </c>
      <c r="G25" s="4" t="n">
        <v>0.75</v>
      </c>
      <c r="H25" s="4" t="n">
        <v>8</v>
      </c>
      <c r="I25" s="4" t="n">
        <v>4</v>
      </c>
      <c r="J25" s="7" t="n">
        <v>11</v>
      </c>
      <c r="K25" s="4" t="n">
        <v>12</v>
      </c>
      <c r="L25" s="7" t="s">
        <v>64</v>
      </c>
      <c r="M25" s="4" t="s">
        <v>25</v>
      </c>
      <c r="N25" s="4" t="n">
        <v>5</v>
      </c>
      <c r="O25" s="4" t="n">
        <v>0</v>
      </c>
      <c r="P25" s="4" t="n">
        <v>0.45</v>
      </c>
    </row>
    <row r="26" customFormat="false" ht="15" hidden="false" customHeight="false" outlineLevel="0" collapsed="false">
      <c r="A26" s="5" t="s">
        <v>65</v>
      </c>
      <c r="B26" s="5" t="s">
        <v>38</v>
      </c>
      <c r="C26" s="6" t="s">
        <v>39</v>
      </c>
      <c r="D26" s="6" t="n">
        <v>17</v>
      </c>
      <c r="E26" s="6" t="n">
        <v>28</v>
      </c>
      <c r="F26" s="8" t="n">
        <v>11</v>
      </c>
      <c r="G26" s="6" t="n">
        <v>0.75</v>
      </c>
      <c r="H26" s="6" t="n">
        <v>21</v>
      </c>
      <c r="I26" s="6" t="n">
        <v>11</v>
      </c>
      <c r="J26" s="6" t="n">
        <v>0</v>
      </c>
      <c r="K26" s="6" t="n">
        <v>12</v>
      </c>
      <c r="L26" s="6" t="s">
        <v>20</v>
      </c>
      <c r="M26" s="6" t="s">
        <v>21</v>
      </c>
      <c r="N26" s="6" t="n">
        <v>1</v>
      </c>
      <c r="O26" s="6" t="n">
        <v>0</v>
      </c>
      <c r="P26" s="6" t="n">
        <v>2.25</v>
      </c>
    </row>
    <row r="27" customFormat="false" ht="15" hidden="false" customHeight="false" outlineLevel="0" collapsed="false">
      <c r="A27" s="3" t="s">
        <v>66</v>
      </c>
      <c r="B27" s="3" t="s">
        <v>51</v>
      </c>
      <c r="C27" s="4" t="s">
        <v>52</v>
      </c>
      <c r="D27" s="4" t="n">
        <v>22</v>
      </c>
      <c r="E27" s="4" t="n">
        <v>16</v>
      </c>
      <c r="F27" s="4" t="n">
        <v>6</v>
      </c>
      <c r="G27" s="4" t="n">
        <v>0.75</v>
      </c>
      <c r="H27" s="4" t="n">
        <v>12</v>
      </c>
      <c r="I27" s="4" t="n">
        <v>12</v>
      </c>
      <c r="J27" s="4" t="n">
        <v>0</v>
      </c>
      <c r="K27" s="4" t="n">
        <v>5</v>
      </c>
      <c r="L27" s="4" t="s">
        <v>20</v>
      </c>
      <c r="M27" s="4" t="s">
        <v>21</v>
      </c>
      <c r="N27" s="4" t="n">
        <v>5</v>
      </c>
      <c r="O27" s="4" t="n">
        <v>0</v>
      </c>
      <c r="P27" s="4" t="n">
        <v>0.93</v>
      </c>
    </row>
    <row r="28" customFormat="false" ht="15" hidden="false" customHeight="false" outlineLevel="0" collapsed="false">
      <c r="A28" s="5" t="s">
        <v>67</v>
      </c>
      <c r="B28" s="5" t="s">
        <v>38</v>
      </c>
      <c r="C28" s="6" t="s">
        <v>39</v>
      </c>
      <c r="D28" s="6" t="n">
        <v>33</v>
      </c>
      <c r="E28" s="6" t="n">
        <v>26</v>
      </c>
      <c r="F28" s="6" t="n">
        <v>7</v>
      </c>
      <c r="G28" s="6" t="n">
        <v>0.75</v>
      </c>
      <c r="H28" s="6" t="n">
        <v>20</v>
      </c>
      <c r="I28" s="6" t="n">
        <v>9</v>
      </c>
      <c r="J28" s="7" t="n">
        <v>4</v>
      </c>
      <c r="K28" s="6" t="n">
        <v>7</v>
      </c>
      <c r="L28" s="6" t="s">
        <v>20</v>
      </c>
      <c r="M28" s="6" t="s">
        <v>27</v>
      </c>
      <c r="N28" s="6" t="n">
        <v>2</v>
      </c>
      <c r="O28" s="6" t="n">
        <v>1</v>
      </c>
      <c r="P28" s="6" t="n">
        <v>1.18</v>
      </c>
    </row>
    <row r="29" customFormat="false" ht="15" hidden="false" customHeight="false" outlineLevel="0" collapsed="false">
      <c r="A29" s="3" t="s">
        <v>68</v>
      </c>
      <c r="B29" s="3" t="s">
        <v>47</v>
      </c>
      <c r="C29" s="4" t="s">
        <v>48</v>
      </c>
      <c r="D29" s="4" t="n">
        <v>19</v>
      </c>
      <c r="E29" s="4" t="n">
        <v>18</v>
      </c>
      <c r="F29" s="4" t="n">
        <v>1</v>
      </c>
      <c r="G29" s="4" t="n">
        <v>0.75</v>
      </c>
      <c r="H29" s="4" t="n">
        <v>14</v>
      </c>
      <c r="I29" s="4" t="n">
        <v>6</v>
      </c>
      <c r="J29" s="4" t="n">
        <v>0</v>
      </c>
      <c r="K29" s="4" t="n">
        <v>1</v>
      </c>
      <c r="L29" s="4" t="s">
        <v>20</v>
      </c>
      <c r="M29" s="4" t="s">
        <v>44</v>
      </c>
      <c r="N29" s="4" t="n">
        <v>1</v>
      </c>
      <c r="O29" s="4" t="n">
        <v>0</v>
      </c>
      <c r="P29" s="4" t="n">
        <v>0.4</v>
      </c>
    </row>
    <row r="30" customFormat="false" ht="15" hidden="false" customHeight="false" outlineLevel="0" collapsed="false">
      <c r="A30" s="5" t="s">
        <v>69</v>
      </c>
      <c r="B30" s="5" t="s">
        <v>29</v>
      </c>
      <c r="C30" s="6" t="s">
        <v>30</v>
      </c>
      <c r="D30" s="6" t="n">
        <v>25</v>
      </c>
      <c r="E30" s="6" t="n">
        <v>11</v>
      </c>
      <c r="F30" s="8" t="n">
        <v>14</v>
      </c>
      <c r="G30" s="6" t="n">
        <v>0.75</v>
      </c>
      <c r="H30" s="6" t="n">
        <v>8</v>
      </c>
      <c r="I30" s="6" t="n">
        <v>8</v>
      </c>
      <c r="J30" s="7" t="n">
        <v>9</v>
      </c>
      <c r="K30" s="6" t="n">
        <v>14</v>
      </c>
      <c r="L30" s="7" t="s">
        <v>64</v>
      </c>
      <c r="M30" s="6" t="s">
        <v>25</v>
      </c>
      <c r="N30" s="6" t="n">
        <v>3</v>
      </c>
      <c r="O30" s="6" t="n">
        <v>0</v>
      </c>
      <c r="P30" s="6" t="n">
        <v>2.49</v>
      </c>
    </row>
    <row r="31" customFormat="false" ht="15" hidden="false" customHeight="false" outlineLevel="0" collapsed="false">
      <c r="A31" s="3" t="s">
        <v>70</v>
      </c>
      <c r="B31" s="3" t="s">
        <v>23</v>
      </c>
      <c r="C31" s="4" t="s">
        <v>24</v>
      </c>
      <c r="D31" s="4" t="n">
        <v>21</v>
      </c>
      <c r="E31" s="4" t="n">
        <v>13</v>
      </c>
      <c r="F31" s="8" t="n">
        <v>8</v>
      </c>
      <c r="G31" s="4" t="n">
        <v>0.75</v>
      </c>
      <c r="H31" s="4" t="n">
        <v>10</v>
      </c>
      <c r="I31" s="4" t="n">
        <v>11</v>
      </c>
      <c r="J31" s="4" t="n">
        <v>0</v>
      </c>
      <c r="K31" s="4" t="n">
        <v>7</v>
      </c>
      <c r="L31" s="4" t="s">
        <v>20</v>
      </c>
      <c r="M31" s="4" t="s">
        <v>21</v>
      </c>
      <c r="N31" s="4" t="n">
        <v>3</v>
      </c>
      <c r="O31" s="4" t="n">
        <v>0</v>
      </c>
      <c r="P31" s="4" t="n">
        <v>2.3</v>
      </c>
    </row>
    <row r="32" customFormat="false" ht="15" hidden="false" customHeight="false" outlineLevel="0" collapsed="false">
      <c r="A32" s="5" t="s">
        <v>71</v>
      </c>
      <c r="B32" s="5" t="s">
        <v>32</v>
      </c>
      <c r="C32" s="6" t="s">
        <v>33</v>
      </c>
      <c r="D32" s="6" t="n">
        <v>17</v>
      </c>
      <c r="E32" s="6" t="n">
        <v>13</v>
      </c>
      <c r="F32" s="6" t="n">
        <v>4</v>
      </c>
      <c r="G32" s="6" t="n">
        <v>0.75</v>
      </c>
      <c r="H32" s="6" t="n">
        <v>10</v>
      </c>
      <c r="I32" s="6" t="n">
        <v>16</v>
      </c>
      <c r="J32" s="6" t="n">
        <v>0</v>
      </c>
      <c r="K32" s="6" t="n">
        <v>4</v>
      </c>
      <c r="L32" s="6" t="s">
        <v>20</v>
      </c>
      <c r="M32" s="6" t="s">
        <v>21</v>
      </c>
      <c r="N32" s="6" t="n">
        <v>1</v>
      </c>
      <c r="O32" s="6" t="n">
        <v>0</v>
      </c>
      <c r="P32" s="6" t="n">
        <v>0.79</v>
      </c>
    </row>
    <row r="33" customFormat="false" ht="15" hidden="false" customHeight="false" outlineLevel="0" collapsed="false">
      <c r="A33" s="3" t="s">
        <v>72</v>
      </c>
      <c r="B33" s="3" t="s">
        <v>42</v>
      </c>
      <c r="C33" s="4" t="s">
        <v>43</v>
      </c>
      <c r="D33" s="4" t="n">
        <v>39</v>
      </c>
      <c r="E33" s="4" t="n">
        <v>25</v>
      </c>
      <c r="F33" s="8" t="n">
        <v>14</v>
      </c>
      <c r="G33" s="4" t="n">
        <v>0.75</v>
      </c>
      <c r="H33" s="4" t="n">
        <v>19</v>
      </c>
      <c r="I33" s="4" t="n">
        <v>6</v>
      </c>
      <c r="J33" s="7" t="n">
        <v>14</v>
      </c>
      <c r="K33" s="4" t="n">
        <v>15</v>
      </c>
      <c r="L33" s="7" t="s">
        <v>64</v>
      </c>
      <c r="M33" s="4" t="s">
        <v>21</v>
      </c>
      <c r="N33" s="4" t="n">
        <v>2</v>
      </c>
      <c r="O33" s="4" t="n">
        <v>0</v>
      </c>
      <c r="P33" s="4" t="n">
        <v>1.39</v>
      </c>
    </row>
    <row r="34" customFormat="false" ht="15" hidden="false" customHeight="false" outlineLevel="0" collapsed="false">
      <c r="A34" s="5" t="s">
        <v>73</v>
      </c>
      <c r="B34" s="5" t="s">
        <v>18</v>
      </c>
      <c r="C34" s="6" t="s">
        <v>19</v>
      </c>
      <c r="D34" s="6" t="n">
        <v>46</v>
      </c>
      <c r="E34" s="6" t="n">
        <v>32</v>
      </c>
      <c r="F34" s="8" t="n">
        <v>14</v>
      </c>
      <c r="G34" s="6" t="n">
        <v>0.75</v>
      </c>
      <c r="H34" s="6" t="n">
        <v>24</v>
      </c>
      <c r="I34" s="6" t="n">
        <v>12</v>
      </c>
      <c r="J34" s="7" t="n">
        <v>10</v>
      </c>
      <c r="K34" s="6" t="n">
        <v>13</v>
      </c>
      <c r="L34" s="7" t="s">
        <v>64</v>
      </c>
      <c r="M34" s="6" t="s">
        <v>44</v>
      </c>
      <c r="N34" s="6" t="n">
        <v>5</v>
      </c>
      <c r="O34" s="6" t="n">
        <v>0</v>
      </c>
      <c r="P34" s="6" t="n">
        <v>2.84</v>
      </c>
    </row>
    <row r="35" customFormat="false" ht="15" hidden="false" customHeight="false" outlineLevel="0" collapsed="false">
      <c r="A35" s="3" t="s">
        <v>74</v>
      </c>
      <c r="B35" s="3" t="s">
        <v>18</v>
      </c>
      <c r="C35" s="4" t="s">
        <v>19</v>
      </c>
      <c r="D35" s="4" t="n">
        <v>40</v>
      </c>
      <c r="E35" s="4" t="n">
        <v>30</v>
      </c>
      <c r="F35" s="8" t="n">
        <v>10</v>
      </c>
      <c r="G35" s="4" t="n">
        <v>0.75</v>
      </c>
      <c r="H35" s="4" t="n">
        <v>22</v>
      </c>
      <c r="I35" s="4" t="n">
        <v>5</v>
      </c>
      <c r="J35" s="7" t="n">
        <v>13</v>
      </c>
      <c r="K35" s="4" t="n">
        <v>10</v>
      </c>
      <c r="L35" s="4" t="s">
        <v>20</v>
      </c>
      <c r="M35" s="4" t="s">
        <v>44</v>
      </c>
      <c r="N35" s="4" t="n">
        <v>5</v>
      </c>
      <c r="O35" s="4" t="n">
        <v>1</v>
      </c>
      <c r="P35" s="4" t="n">
        <v>1.05</v>
      </c>
    </row>
    <row r="36" customFormat="false" ht="15" hidden="false" customHeight="false" outlineLevel="0" collapsed="false">
      <c r="A36" s="5" t="s">
        <v>75</v>
      </c>
      <c r="B36" s="5" t="s">
        <v>18</v>
      </c>
      <c r="C36" s="6" t="s">
        <v>19</v>
      </c>
      <c r="D36" s="6" t="n">
        <v>42</v>
      </c>
      <c r="E36" s="6" t="n">
        <v>22</v>
      </c>
      <c r="F36" s="8" t="n">
        <v>20</v>
      </c>
      <c r="G36" s="6" t="n">
        <v>0.75</v>
      </c>
      <c r="H36" s="6" t="n">
        <v>16</v>
      </c>
      <c r="I36" s="6" t="n">
        <v>6</v>
      </c>
      <c r="J36" s="7" t="n">
        <v>20</v>
      </c>
      <c r="K36" s="6" t="n">
        <v>20</v>
      </c>
      <c r="L36" s="7" t="s">
        <v>64</v>
      </c>
      <c r="M36" s="6" t="s">
        <v>27</v>
      </c>
      <c r="N36" s="6" t="n">
        <v>4</v>
      </c>
      <c r="O36" s="6" t="n">
        <v>1</v>
      </c>
      <c r="P36" s="6" t="n">
        <v>1.09</v>
      </c>
    </row>
    <row r="37" customFormat="false" ht="15" hidden="false" customHeight="false" outlineLevel="0" collapsed="false">
      <c r="A37" s="3" t="s">
        <v>76</v>
      </c>
      <c r="B37" s="3" t="s">
        <v>47</v>
      </c>
      <c r="C37" s="4" t="s">
        <v>48</v>
      </c>
      <c r="D37" s="4" t="n">
        <v>33</v>
      </c>
      <c r="E37" s="4" t="n">
        <v>21</v>
      </c>
      <c r="F37" s="8" t="n">
        <v>12</v>
      </c>
      <c r="G37" s="4" t="n">
        <v>0.75</v>
      </c>
      <c r="H37" s="4" t="n">
        <v>16</v>
      </c>
      <c r="I37" s="4" t="n">
        <v>12</v>
      </c>
      <c r="J37" s="7" t="n">
        <v>5</v>
      </c>
      <c r="K37" s="4" t="n">
        <v>13</v>
      </c>
      <c r="L37" s="7" t="s">
        <v>64</v>
      </c>
      <c r="M37" s="4" t="s">
        <v>21</v>
      </c>
      <c r="N37" s="4" t="n">
        <v>4</v>
      </c>
      <c r="O37" s="4" t="n">
        <v>0</v>
      </c>
      <c r="P37" s="4" t="n">
        <v>2.09</v>
      </c>
    </row>
    <row r="38" customFormat="false" ht="15" hidden="false" customHeight="false" outlineLevel="0" collapsed="false">
      <c r="A38" s="5" t="s">
        <v>77</v>
      </c>
      <c r="B38" s="5" t="s">
        <v>42</v>
      </c>
      <c r="C38" s="6" t="s">
        <v>43</v>
      </c>
      <c r="D38" s="6" t="n">
        <v>43</v>
      </c>
      <c r="E38" s="6" t="n">
        <v>26</v>
      </c>
      <c r="F38" s="8" t="n">
        <v>17</v>
      </c>
      <c r="G38" s="6" t="n">
        <v>0.75</v>
      </c>
      <c r="H38" s="6" t="n">
        <v>20</v>
      </c>
      <c r="I38" s="6" t="n">
        <v>14</v>
      </c>
      <c r="J38" s="7" t="n">
        <v>9</v>
      </c>
      <c r="K38" s="6" t="n">
        <v>16</v>
      </c>
      <c r="L38" s="7" t="s">
        <v>64</v>
      </c>
      <c r="M38" s="6" t="s">
        <v>21</v>
      </c>
      <c r="N38" s="6" t="n">
        <v>4</v>
      </c>
      <c r="O38" s="6" t="n">
        <v>0</v>
      </c>
      <c r="P38" s="6" t="n">
        <v>1.47</v>
      </c>
    </row>
    <row r="39" customFormat="false" ht="15" hidden="false" customHeight="false" outlineLevel="0" collapsed="false">
      <c r="A39" s="3" t="s">
        <v>78</v>
      </c>
      <c r="B39" s="3" t="s">
        <v>38</v>
      </c>
      <c r="C39" s="4" t="s">
        <v>39</v>
      </c>
      <c r="D39" s="4" t="n">
        <v>33</v>
      </c>
      <c r="E39" s="4" t="n">
        <v>24</v>
      </c>
      <c r="F39" s="8" t="n">
        <v>9</v>
      </c>
      <c r="G39" s="4" t="n">
        <v>0.75</v>
      </c>
      <c r="H39" s="4" t="n">
        <v>18</v>
      </c>
      <c r="I39" s="4" t="n">
        <v>4</v>
      </c>
      <c r="J39" s="7" t="n">
        <v>11</v>
      </c>
      <c r="K39" s="4" t="n">
        <v>8</v>
      </c>
      <c r="L39" s="4" t="s">
        <v>20</v>
      </c>
      <c r="M39" s="4" t="s">
        <v>21</v>
      </c>
      <c r="N39" s="4" t="n">
        <v>3</v>
      </c>
      <c r="O39" s="4" t="n">
        <v>0</v>
      </c>
      <c r="P39" s="4" t="n">
        <v>2.58</v>
      </c>
    </row>
    <row r="40" customFormat="false" ht="15" hidden="false" customHeight="false" outlineLevel="0" collapsed="false">
      <c r="A40" s="5" t="s">
        <v>79</v>
      </c>
      <c r="B40" s="5" t="s">
        <v>23</v>
      </c>
      <c r="C40" s="6" t="s">
        <v>24</v>
      </c>
      <c r="D40" s="6" t="n">
        <v>16</v>
      </c>
      <c r="E40" s="6" t="n">
        <v>10</v>
      </c>
      <c r="F40" s="6" t="n">
        <v>6</v>
      </c>
      <c r="G40" s="6" t="n">
        <v>0.75</v>
      </c>
      <c r="H40" s="6" t="n">
        <v>8</v>
      </c>
      <c r="I40" s="6" t="n">
        <v>15</v>
      </c>
      <c r="J40" s="6" t="n">
        <v>0</v>
      </c>
      <c r="K40" s="6" t="n">
        <v>5</v>
      </c>
      <c r="L40" s="6" t="s">
        <v>20</v>
      </c>
      <c r="M40" s="6" t="s">
        <v>21</v>
      </c>
      <c r="N40" s="6" t="n">
        <v>2</v>
      </c>
      <c r="O40" s="6" t="n">
        <v>0</v>
      </c>
      <c r="P40" s="6" t="n">
        <v>1.61</v>
      </c>
    </row>
    <row r="41" customFormat="false" ht="15" hidden="false" customHeight="false" outlineLevel="0" collapsed="false">
      <c r="A41" s="3" t="s">
        <v>80</v>
      </c>
      <c r="B41" s="3" t="s">
        <v>51</v>
      </c>
      <c r="C41" s="4" t="s">
        <v>52</v>
      </c>
      <c r="D41" s="4" t="n">
        <v>33</v>
      </c>
      <c r="E41" s="4" t="n">
        <v>16</v>
      </c>
      <c r="F41" s="8" t="n">
        <v>17</v>
      </c>
      <c r="G41" s="4" t="n">
        <v>0.75</v>
      </c>
      <c r="H41" s="4" t="n">
        <v>12</v>
      </c>
      <c r="I41" s="4" t="n">
        <v>8</v>
      </c>
      <c r="J41" s="7" t="n">
        <v>13</v>
      </c>
      <c r="K41" s="4" t="n">
        <v>16</v>
      </c>
      <c r="L41" s="7" t="s">
        <v>64</v>
      </c>
      <c r="M41" s="4" t="s">
        <v>36</v>
      </c>
      <c r="N41" s="4" t="n">
        <v>5</v>
      </c>
      <c r="O41" s="4" t="n">
        <v>0</v>
      </c>
      <c r="P41" s="4" t="n">
        <v>2.57</v>
      </c>
    </row>
    <row r="42" customFormat="false" ht="15" hidden="false" customHeight="false" outlineLevel="0" collapsed="false">
      <c r="A42" s="5" t="s">
        <v>81</v>
      </c>
      <c r="B42" s="5" t="s">
        <v>51</v>
      </c>
      <c r="C42" s="6" t="s">
        <v>52</v>
      </c>
      <c r="D42" s="6" t="n">
        <v>28</v>
      </c>
      <c r="E42" s="6" t="n">
        <v>22</v>
      </c>
      <c r="F42" s="6" t="n">
        <v>6</v>
      </c>
      <c r="G42" s="6" t="n">
        <v>0.75</v>
      </c>
      <c r="H42" s="6" t="n">
        <v>16</v>
      </c>
      <c r="I42" s="6" t="n">
        <v>8</v>
      </c>
      <c r="J42" s="7" t="n">
        <v>4</v>
      </c>
      <c r="K42" s="6" t="n">
        <v>7</v>
      </c>
      <c r="L42" s="6" t="s">
        <v>20</v>
      </c>
      <c r="M42" s="6" t="s">
        <v>25</v>
      </c>
      <c r="N42" s="6" t="n">
        <v>1</v>
      </c>
      <c r="O42" s="6" t="n">
        <v>1</v>
      </c>
      <c r="P42" s="6" t="n">
        <v>1.4</v>
      </c>
    </row>
    <row r="43" customFormat="false" ht="15" hidden="false" customHeight="false" outlineLevel="0" collapsed="false">
      <c r="A43" s="3" t="s">
        <v>82</v>
      </c>
      <c r="B43" s="3" t="s">
        <v>18</v>
      </c>
      <c r="C43" s="4" t="s">
        <v>19</v>
      </c>
      <c r="D43" s="4" t="n">
        <v>33</v>
      </c>
      <c r="E43" s="4" t="n">
        <v>29</v>
      </c>
      <c r="F43" s="4" t="n">
        <v>4</v>
      </c>
      <c r="G43" s="4" t="n">
        <v>0.75</v>
      </c>
      <c r="H43" s="4" t="n">
        <v>22</v>
      </c>
      <c r="I43" s="4" t="n">
        <v>16</v>
      </c>
      <c r="J43" s="4" t="n">
        <v>0</v>
      </c>
      <c r="K43" s="4" t="n">
        <v>5</v>
      </c>
      <c r="L43" s="4" t="s">
        <v>20</v>
      </c>
      <c r="M43" s="4" t="s">
        <v>21</v>
      </c>
      <c r="N43" s="4" t="n">
        <v>1</v>
      </c>
      <c r="O43" s="4" t="n">
        <v>1</v>
      </c>
      <c r="P43" s="4" t="n">
        <v>1.21</v>
      </c>
    </row>
    <row r="44" customFormat="false" ht="15" hidden="false" customHeight="false" outlineLevel="0" collapsed="false">
      <c r="A44" s="5" t="s">
        <v>83</v>
      </c>
      <c r="B44" s="5" t="s">
        <v>84</v>
      </c>
      <c r="C44" s="6" t="s">
        <v>85</v>
      </c>
      <c r="D44" s="6" t="n">
        <v>25</v>
      </c>
      <c r="E44" s="6" t="n">
        <v>15</v>
      </c>
      <c r="F44" s="8" t="n">
        <v>10</v>
      </c>
      <c r="G44" s="6" t="n">
        <v>0.75</v>
      </c>
      <c r="H44" s="6" t="n">
        <v>11</v>
      </c>
      <c r="I44" s="6" t="n">
        <v>9</v>
      </c>
      <c r="J44" s="7" t="n">
        <v>5</v>
      </c>
      <c r="K44" s="6" t="n">
        <v>11</v>
      </c>
      <c r="L44" s="7" t="s">
        <v>64</v>
      </c>
      <c r="M44" s="6" t="s">
        <v>21</v>
      </c>
      <c r="N44" s="6" t="n">
        <v>2</v>
      </c>
      <c r="O44" s="6" t="n">
        <v>0</v>
      </c>
      <c r="P44" s="6" t="n">
        <v>1.33</v>
      </c>
    </row>
    <row r="45" customFormat="false" ht="15" hidden="false" customHeight="false" outlineLevel="0" collapsed="false">
      <c r="A45" s="3" t="s">
        <v>86</v>
      </c>
      <c r="B45" s="3" t="s">
        <v>38</v>
      </c>
      <c r="C45" s="4" t="s">
        <v>39</v>
      </c>
      <c r="D45" s="4" t="n">
        <v>30</v>
      </c>
      <c r="E45" s="4" t="n">
        <v>26</v>
      </c>
      <c r="F45" s="4" t="n">
        <v>4</v>
      </c>
      <c r="G45" s="4" t="n">
        <v>0.75</v>
      </c>
      <c r="H45" s="4" t="n">
        <v>20</v>
      </c>
      <c r="I45" s="4" t="n">
        <v>4</v>
      </c>
      <c r="J45" s="7" t="n">
        <v>6</v>
      </c>
      <c r="K45" s="4" t="n">
        <v>4</v>
      </c>
      <c r="L45" s="4" t="s">
        <v>20</v>
      </c>
      <c r="M45" s="4" t="s">
        <v>25</v>
      </c>
      <c r="N45" s="4" t="n">
        <v>2</v>
      </c>
      <c r="O45" s="4" t="n">
        <v>0</v>
      </c>
      <c r="P45" s="4" t="n">
        <v>2.16</v>
      </c>
    </row>
    <row r="46" customFormat="false" ht="15" hidden="false" customHeight="false" outlineLevel="0" collapsed="false">
      <c r="A46" s="5" t="s">
        <v>87</v>
      </c>
      <c r="B46" s="5" t="s">
        <v>55</v>
      </c>
      <c r="C46" s="6" t="s">
        <v>56</v>
      </c>
      <c r="D46" s="6" t="n">
        <v>34</v>
      </c>
      <c r="E46" s="6" t="n">
        <v>31</v>
      </c>
      <c r="F46" s="6" t="n">
        <v>3</v>
      </c>
      <c r="G46" s="6" t="n">
        <v>0.75</v>
      </c>
      <c r="H46" s="6" t="n">
        <v>23</v>
      </c>
      <c r="I46" s="6" t="n">
        <v>13</v>
      </c>
      <c r="J46" s="6" t="n">
        <v>0</v>
      </c>
      <c r="K46" s="6" t="n">
        <v>2</v>
      </c>
      <c r="L46" s="6" t="s">
        <v>20</v>
      </c>
      <c r="M46" s="6" t="s">
        <v>21</v>
      </c>
      <c r="N46" s="6" t="n">
        <v>4</v>
      </c>
      <c r="O46" s="6" t="n">
        <v>0</v>
      </c>
      <c r="P46" s="6" t="n">
        <v>1.68</v>
      </c>
    </row>
    <row r="47" customFormat="false" ht="15" hidden="false" customHeight="false" outlineLevel="0" collapsed="false">
      <c r="A47" s="3" t="s">
        <v>88</v>
      </c>
      <c r="B47" s="3" t="s">
        <v>18</v>
      </c>
      <c r="C47" s="4" t="s">
        <v>19</v>
      </c>
      <c r="D47" s="4" t="n">
        <v>42</v>
      </c>
      <c r="E47" s="4" t="n">
        <v>25</v>
      </c>
      <c r="F47" s="8" t="n">
        <v>17</v>
      </c>
      <c r="G47" s="4" t="n">
        <v>0.75</v>
      </c>
      <c r="H47" s="4" t="n">
        <v>19</v>
      </c>
      <c r="I47" s="4" t="n">
        <v>11</v>
      </c>
      <c r="J47" s="7" t="n">
        <v>12</v>
      </c>
      <c r="K47" s="4" t="n">
        <v>17</v>
      </c>
      <c r="L47" s="7" t="s">
        <v>64</v>
      </c>
      <c r="M47" s="4" t="s">
        <v>44</v>
      </c>
      <c r="N47" s="4" t="n">
        <v>4</v>
      </c>
      <c r="O47" s="4" t="n">
        <v>1</v>
      </c>
      <c r="P47" s="4" t="n">
        <v>1.06</v>
      </c>
    </row>
    <row r="48" customFormat="false" ht="15" hidden="false" customHeight="false" outlineLevel="0" collapsed="false">
      <c r="A48" s="5" t="s">
        <v>89</v>
      </c>
      <c r="B48" s="5" t="s">
        <v>18</v>
      </c>
      <c r="C48" s="6" t="s">
        <v>19</v>
      </c>
      <c r="D48" s="6" t="n">
        <v>38</v>
      </c>
      <c r="E48" s="6" t="n">
        <v>28</v>
      </c>
      <c r="F48" s="8" t="n">
        <v>10</v>
      </c>
      <c r="G48" s="6" t="n">
        <v>0.75</v>
      </c>
      <c r="H48" s="6" t="n">
        <v>21</v>
      </c>
      <c r="I48" s="6" t="n">
        <v>9</v>
      </c>
      <c r="J48" s="7" t="n">
        <v>8</v>
      </c>
      <c r="K48" s="6" t="n">
        <v>10</v>
      </c>
      <c r="L48" s="6" t="s">
        <v>20</v>
      </c>
      <c r="M48" s="6" t="s">
        <v>21</v>
      </c>
      <c r="N48" s="6" t="n">
        <v>5</v>
      </c>
      <c r="O48" s="6" t="n">
        <v>1</v>
      </c>
      <c r="P48" s="6" t="n">
        <v>1.93</v>
      </c>
    </row>
    <row r="49" customFormat="false" ht="15" hidden="false" customHeight="false" outlineLevel="0" collapsed="false">
      <c r="A49" s="3" t="s">
        <v>90</v>
      </c>
      <c r="B49" s="3" t="s">
        <v>51</v>
      </c>
      <c r="C49" s="4" t="s">
        <v>52</v>
      </c>
      <c r="D49" s="4" t="n">
        <v>26</v>
      </c>
      <c r="E49" s="4" t="n">
        <v>21</v>
      </c>
      <c r="F49" s="4" t="n">
        <v>5</v>
      </c>
      <c r="G49" s="4" t="n">
        <v>0.75</v>
      </c>
      <c r="H49" s="4" t="n">
        <v>16</v>
      </c>
      <c r="I49" s="4" t="n">
        <v>16</v>
      </c>
      <c r="J49" s="4" t="n">
        <v>0</v>
      </c>
      <c r="K49" s="4" t="n">
        <v>6</v>
      </c>
      <c r="L49" s="4" t="s">
        <v>20</v>
      </c>
      <c r="M49" s="4" t="s">
        <v>21</v>
      </c>
      <c r="N49" s="4" t="n">
        <v>4</v>
      </c>
      <c r="O49" s="4" t="n">
        <v>0</v>
      </c>
      <c r="P49" s="4" t="n">
        <v>1.38</v>
      </c>
    </row>
    <row r="50" customFormat="false" ht="15" hidden="false" customHeight="false" outlineLevel="0" collapsed="false">
      <c r="A50" s="5" t="s">
        <v>91</v>
      </c>
      <c r="B50" s="5" t="s">
        <v>47</v>
      </c>
      <c r="C50" s="6" t="s">
        <v>48</v>
      </c>
      <c r="D50" s="6" t="n">
        <v>25</v>
      </c>
      <c r="E50" s="6" t="n">
        <v>14</v>
      </c>
      <c r="F50" s="8" t="n">
        <v>11</v>
      </c>
      <c r="G50" s="6" t="n">
        <v>0.75</v>
      </c>
      <c r="H50" s="6" t="n">
        <v>10</v>
      </c>
      <c r="I50" s="6" t="n">
        <v>6</v>
      </c>
      <c r="J50" s="7" t="n">
        <v>9</v>
      </c>
      <c r="K50" s="6" t="n">
        <v>10</v>
      </c>
      <c r="L50" s="6" t="s">
        <v>20</v>
      </c>
      <c r="M50" s="6" t="s">
        <v>21</v>
      </c>
      <c r="N50" s="6" t="n">
        <v>1</v>
      </c>
      <c r="O50" s="6" t="n">
        <v>0</v>
      </c>
      <c r="P50" s="6" t="n">
        <v>1.33</v>
      </c>
    </row>
    <row r="51" customFormat="false" ht="15" hidden="false" customHeight="false" outlineLevel="0" collapsed="false">
      <c r="A51" s="3" t="s">
        <v>92</v>
      </c>
      <c r="B51" s="3" t="s">
        <v>42</v>
      </c>
      <c r="C51" s="4" t="s">
        <v>43</v>
      </c>
      <c r="D51" s="4" t="n">
        <v>42</v>
      </c>
      <c r="E51" s="4" t="n">
        <v>31</v>
      </c>
      <c r="F51" s="8" t="n">
        <v>11</v>
      </c>
      <c r="G51" s="4" t="n">
        <v>0.75</v>
      </c>
      <c r="H51" s="4" t="n">
        <v>23</v>
      </c>
      <c r="I51" s="4" t="n">
        <v>10</v>
      </c>
      <c r="J51" s="7" t="n">
        <v>9</v>
      </c>
      <c r="K51" s="4" t="n">
        <v>11</v>
      </c>
      <c r="L51" s="7" t="s">
        <v>64</v>
      </c>
      <c r="M51" s="4" t="s">
        <v>21</v>
      </c>
      <c r="N51" s="4" t="n">
        <v>5</v>
      </c>
      <c r="O51" s="4" t="n">
        <v>0</v>
      </c>
      <c r="P51" s="4" t="n">
        <v>1.44</v>
      </c>
    </row>
    <row r="52" customFormat="false" ht="15" hidden="false" customHeight="false" outlineLevel="0" collapsed="false">
      <c r="A52" s="5" t="s">
        <v>93</v>
      </c>
      <c r="B52" s="5" t="s">
        <v>55</v>
      </c>
      <c r="C52" s="6" t="s">
        <v>56</v>
      </c>
      <c r="D52" s="6" t="n">
        <v>38</v>
      </c>
      <c r="E52" s="6" t="n">
        <v>29</v>
      </c>
      <c r="F52" s="8" t="n">
        <v>9</v>
      </c>
      <c r="G52" s="6" t="n">
        <v>0.75</v>
      </c>
      <c r="H52" s="6" t="n">
        <v>22</v>
      </c>
      <c r="I52" s="6" t="n">
        <v>12</v>
      </c>
      <c r="J52" s="7" t="n">
        <v>4</v>
      </c>
      <c r="K52" s="6" t="n">
        <v>9</v>
      </c>
      <c r="L52" s="6" t="s">
        <v>20</v>
      </c>
      <c r="M52" s="6" t="s">
        <v>21</v>
      </c>
      <c r="N52" s="6" t="n">
        <v>3</v>
      </c>
      <c r="O52" s="6" t="n">
        <v>0</v>
      </c>
      <c r="P52" s="6" t="n">
        <v>2.08</v>
      </c>
    </row>
    <row r="53" customFormat="false" ht="15" hidden="false" customHeight="false" outlineLevel="0" collapsed="false">
      <c r="A53" s="3" t="s">
        <v>94</v>
      </c>
      <c r="B53" s="3" t="s">
        <v>55</v>
      </c>
      <c r="C53" s="4" t="s">
        <v>56</v>
      </c>
      <c r="D53" s="4" t="n">
        <v>29</v>
      </c>
      <c r="E53" s="4" t="n">
        <v>25</v>
      </c>
      <c r="F53" s="4" t="n">
        <v>4</v>
      </c>
      <c r="G53" s="4" t="n">
        <v>0.75</v>
      </c>
      <c r="H53" s="4" t="n">
        <v>19</v>
      </c>
      <c r="I53" s="4" t="n">
        <v>14</v>
      </c>
      <c r="J53" s="4" t="n">
        <v>0</v>
      </c>
      <c r="K53" s="4" t="n">
        <v>3</v>
      </c>
      <c r="L53" s="4" t="s">
        <v>20</v>
      </c>
      <c r="M53" s="4" t="s">
        <v>21</v>
      </c>
      <c r="N53" s="4" t="n">
        <v>2</v>
      </c>
      <c r="O53" s="4" t="n">
        <v>0</v>
      </c>
      <c r="P53" s="4" t="n">
        <v>2.4</v>
      </c>
    </row>
    <row r="54" customFormat="false" ht="15" hidden="false" customHeight="false" outlineLevel="0" collapsed="false">
      <c r="A54" s="5" t="s">
        <v>95</v>
      </c>
      <c r="B54" s="5" t="s">
        <v>32</v>
      </c>
      <c r="C54" s="6" t="s">
        <v>33</v>
      </c>
      <c r="D54" s="6" t="n">
        <v>27</v>
      </c>
      <c r="E54" s="6" t="n">
        <v>8</v>
      </c>
      <c r="F54" s="8" t="n">
        <v>19</v>
      </c>
      <c r="G54" s="6" t="n">
        <v>0.75</v>
      </c>
      <c r="H54" s="6" t="n">
        <v>6</v>
      </c>
      <c r="I54" s="6" t="n">
        <v>8</v>
      </c>
      <c r="J54" s="7" t="n">
        <v>13</v>
      </c>
      <c r="K54" s="6" t="n">
        <v>19</v>
      </c>
      <c r="L54" s="7" t="s">
        <v>64</v>
      </c>
      <c r="M54" s="6" t="s">
        <v>27</v>
      </c>
      <c r="N54" s="6" t="n">
        <v>1</v>
      </c>
      <c r="O54" s="6" t="n">
        <v>0</v>
      </c>
      <c r="P54" s="6" t="n">
        <v>2.1</v>
      </c>
    </row>
    <row r="55" customFormat="false" ht="15" hidden="false" customHeight="false" outlineLevel="0" collapsed="false">
      <c r="A55" s="3" t="s">
        <v>96</v>
      </c>
      <c r="B55" s="3" t="s">
        <v>42</v>
      </c>
      <c r="C55" s="4" t="s">
        <v>43</v>
      </c>
      <c r="D55" s="4" t="n">
        <v>40</v>
      </c>
      <c r="E55" s="4" t="n">
        <v>31</v>
      </c>
      <c r="F55" s="8" t="n">
        <v>9</v>
      </c>
      <c r="G55" s="4" t="n">
        <v>0.75</v>
      </c>
      <c r="H55" s="4" t="n">
        <v>23</v>
      </c>
      <c r="I55" s="4" t="n">
        <v>7</v>
      </c>
      <c r="J55" s="7" t="n">
        <v>10</v>
      </c>
      <c r="K55" s="4" t="n">
        <v>9</v>
      </c>
      <c r="L55" s="4" t="s">
        <v>20</v>
      </c>
      <c r="M55" s="4" t="s">
        <v>25</v>
      </c>
      <c r="N55" s="4" t="n">
        <v>1</v>
      </c>
      <c r="O55" s="4" t="n">
        <v>0</v>
      </c>
      <c r="P55" s="4" t="n">
        <v>1.14</v>
      </c>
    </row>
    <row r="56" customFormat="false" ht="15" hidden="false" customHeight="false" outlineLevel="0" collapsed="false">
      <c r="A56" s="5" t="s">
        <v>97</v>
      </c>
      <c r="B56" s="5" t="s">
        <v>84</v>
      </c>
      <c r="C56" s="6" t="s">
        <v>85</v>
      </c>
      <c r="D56" s="6" t="n">
        <v>25</v>
      </c>
      <c r="E56" s="6" t="n">
        <v>18</v>
      </c>
      <c r="F56" s="6" t="n">
        <v>7</v>
      </c>
      <c r="G56" s="6" t="n">
        <v>0.75</v>
      </c>
      <c r="H56" s="6" t="n">
        <v>14</v>
      </c>
      <c r="I56" s="6" t="n">
        <v>4</v>
      </c>
      <c r="J56" s="7" t="n">
        <v>7</v>
      </c>
      <c r="K56" s="6" t="n">
        <v>7</v>
      </c>
      <c r="L56" s="6" t="s">
        <v>20</v>
      </c>
      <c r="M56" s="6" t="s">
        <v>21</v>
      </c>
      <c r="N56" s="6" t="n">
        <v>3</v>
      </c>
      <c r="O56" s="6" t="n">
        <v>0</v>
      </c>
      <c r="P56" s="6" t="n">
        <v>1.59</v>
      </c>
    </row>
    <row r="57" customFormat="false" ht="15" hidden="false" customHeight="false" outlineLevel="0" collapsed="false">
      <c r="A57" s="3" t="s">
        <v>98</v>
      </c>
      <c r="B57" s="3" t="s">
        <v>47</v>
      </c>
      <c r="C57" s="4" t="s">
        <v>48</v>
      </c>
      <c r="D57" s="4" t="n">
        <v>34</v>
      </c>
      <c r="E57" s="4" t="n">
        <v>18</v>
      </c>
      <c r="F57" s="8" t="n">
        <v>16</v>
      </c>
      <c r="G57" s="4" t="n">
        <v>0.75</v>
      </c>
      <c r="H57" s="4" t="n">
        <v>14</v>
      </c>
      <c r="I57" s="4" t="n">
        <v>17</v>
      </c>
      <c r="J57" s="7" t="n">
        <v>3</v>
      </c>
      <c r="K57" s="4" t="n">
        <v>15</v>
      </c>
      <c r="L57" s="7" t="s">
        <v>64</v>
      </c>
      <c r="M57" s="4" t="s">
        <v>25</v>
      </c>
      <c r="N57" s="4" t="n">
        <v>3</v>
      </c>
      <c r="O57" s="4" t="n">
        <v>0</v>
      </c>
      <c r="P57" s="4" t="n">
        <v>1.67</v>
      </c>
    </row>
    <row r="58" customFormat="false" ht="15" hidden="false" customHeight="false" outlineLevel="0" collapsed="false">
      <c r="A58" s="5" t="s">
        <v>99</v>
      </c>
      <c r="B58" s="5" t="s">
        <v>23</v>
      </c>
      <c r="C58" s="6" t="s">
        <v>24</v>
      </c>
      <c r="D58" s="6" t="n">
        <v>31</v>
      </c>
      <c r="E58" s="6" t="n">
        <v>6</v>
      </c>
      <c r="F58" s="8" t="n">
        <v>25</v>
      </c>
      <c r="G58" s="6" t="n">
        <v>0.75</v>
      </c>
      <c r="H58" s="6" t="n">
        <v>4</v>
      </c>
      <c r="I58" s="6" t="n">
        <v>4</v>
      </c>
      <c r="J58" s="7" t="n">
        <v>23</v>
      </c>
      <c r="K58" s="6" t="n">
        <v>26</v>
      </c>
      <c r="L58" s="7" t="s">
        <v>64</v>
      </c>
      <c r="M58" s="6" t="s">
        <v>27</v>
      </c>
      <c r="N58" s="6" t="n">
        <v>4</v>
      </c>
      <c r="O58" s="6" t="n">
        <v>0</v>
      </c>
      <c r="P58" s="6" t="n">
        <v>0.57</v>
      </c>
    </row>
    <row r="59" customFormat="false" ht="15" hidden="false" customHeight="false" outlineLevel="0" collapsed="false">
      <c r="A59" s="3" t="s">
        <v>100</v>
      </c>
      <c r="B59" s="3" t="s">
        <v>47</v>
      </c>
      <c r="C59" s="4" t="s">
        <v>48</v>
      </c>
      <c r="D59" s="4" t="n">
        <v>26</v>
      </c>
      <c r="E59" s="4" t="n">
        <v>15</v>
      </c>
      <c r="F59" s="8" t="n">
        <v>11</v>
      </c>
      <c r="G59" s="4" t="n">
        <v>0.75</v>
      </c>
      <c r="H59" s="4" t="n">
        <v>11</v>
      </c>
      <c r="I59" s="4" t="n">
        <v>17</v>
      </c>
      <c r="J59" s="4" t="n">
        <v>0</v>
      </c>
      <c r="K59" s="4" t="n">
        <v>11</v>
      </c>
      <c r="L59" s="7" t="s">
        <v>64</v>
      </c>
      <c r="M59" s="4" t="s">
        <v>21</v>
      </c>
      <c r="N59" s="4" t="n">
        <v>1</v>
      </c>
      <c r="O59" s="4" t="n">
        <v>1</v>
      </c>
      <c r="P59" s="4" t="n">
        <v>2.31</v>
      </c>
    </row>
    <row r="60" customFormat="false" ht="15" hidden="false" customHeight="false" outlineLevel="0" collapsed="false">
      <c r="A60" s="5" t="s">
        <v>101</v>
      </c>
      <c r="B60" s="5" t="s">
        <v>55</v>
      </c>
      <c r="C60" s="6" t="s">
        <v>56</v>
      </c>
      <c r="D60" s="6" t="n">
        <v>34</v>
      </c>
      <c r="E60" s="6" t="n">
        <v>27</v>
      </c>
      <c r="F60" s="6" t="n">
        <v>7</v>
      </c>
      <c r="G60" s="6" t="n">
        <v>0.75</v>
      </c>
      <c r="H60" s="6" t="n">
        <v>20</v>
      </c>
      <c r="I60" s="6" t="n">
        <v>15</v>
      </c>
      <c r="J60" s="6" t="n">
        <v>0</v>
      </c>
      <c r="K60" s="6" t="n">
        <v>6</v>
      </c>
      <c r="L60" s="6" t="s">
        <v>20</v>
      </c>
      <c r="M60" s="6" t="s">
        <v>21</v>
      </c>
      <c r="N60" s="6" t="n">
        <v>2</v>
      </c>
      <c r="O60" s="6" t="n">
        <v>0</v>
      </c>
      <c r="P60" s="6" t="n">
        <v>1.99</v>
      </c>
    </row>
    <row r="61" customFormat="false" ht="15" hidden="false" customHeight="false" outlineLevel="0" collapsed="false">
      <c r="A61" s="3" t="s">
        <v>102</v>
      </c>
      <c r="B61" s="3" t="s">
        <v>55</v>
      </c>
      <c r="C61" s="4" t="s">
        <v>56</v>
      </c>
      <c r="D61" s="4" t="n">
        <v>43</v>
      </c>
      <c r="E61" s="4" t="n">
        <v>26</v>
      </c>
      <c r="F61" s="8" t="n">
        <v>17</v>
      </c>
      <c r="G61" s="4" t="n">
        <v>0.75</v>
      </c>
      <c r="H61" s="4" t="n">
        <v>20</v>
      </c>
      <c r="I61" s="4" t="n">
        <v>12</v>
      </c>
      <c r="J61" s="7" t="n">
        <v>11</v>
      </c>
      <c r="K61" s="4" t="n">
        <v>18</v>
      </c>
      <c r="L61" s="7" t="s">
        <v>64</v>
      </c>
      <c r="M61" s="4" t="s">
        <v>36</v>
      </c>
      <c r="N61" s="4" t="n">
        <v>5</v>
      </c>
      <c r="O61" s="4" t="n">
        <v>1</v>
      </c>
      <c r="P61" s="4" t="n">
        <v>1.99</v>
      </c>
    </row>
    <row r="62" customFormat="false" ht="15" hidden="false" customHeight="false" outlineLevel="0" collapsed="false">
      <c r="A62" s="5" t="s">
        <v>103</v>
      </c>
      <c r="B62" s="5" t="s">
        <v>18</v>
      </c>
      <c r="C62" s="6" t="s">
        <v>19</v>
      </c>
      <c r="D62" s="6" t="n">
        <v>38</v>
      </c>
      <c r="E62" s="6" t="n">
        <v>28</v>
      </c>
      <c r="F62" s="8" t="n">
        <v>10</v>
      </c>
      <c r="G62" s="6" t="n">
        <v>0.75</v>
      </c>
      <c r="H62" s="6" t="n">
        <v>21</v>
      </c>
      <c r="I62" s="6" t="n">
        <v>9</v>
      </c>
      <c r="J62" s="7" t="n">
        <v>8</v>
      </c>
      <c r="K62" s="6" t="n">
        <v>9</v>
      </c>
      <c r="L62" s="6" t="s">
        <v>20</v>
      </c>
      <c r="M62" s="6" t="s">
        <v>44</v>
      </c>
      <c r="N62" s="6" t="n">
        <v>2</v>
      </c>
      <c r="O62" s="6" t="n">
        <v>0</v>
      </c>
      <c r="P62" s="6" t="n">
        <v>2.05</v>
      </c>
    </row>
    <row r="63" customFormat="false" ht="15" hidden="false" customHeight="false" outlineLevel="0" collapsed="false">
      <c r="A63" s="3" t="s">
        <v>104</v>
      </c>
      <c r="B63" s="3" t="s">
        <v>29</v>
      </c>
      <c r="C63" s="4" t="s">
        <v>30</v>
      </c>
      <c r="D63" s="4" t="n">
        <v>24</v>
      </c>
      <c r="E63" s="4" t="n">
        <v>15</v>
      </c>
      <c r="F63" s="8" t="n">
        <v>9</v>
      </c>
      <c r="G63" s="4" t="n">
        <v>0.75</v>
      </c>
      <c r="H63" s="4" t="n">
        <v>11</v>
      </c>
      <c r="I63" s="4" t="n">
        <v>15</v>
      </c>
      <c r="J63" s="4" t="n">
        <v>0</v>
      </c>
      <c r="K63" s="4" t="n">
        <v>8</v>
      </c>
      <c r="L63" s="4" t="s">
        <v>20</v>
      </c>
      <c r="M63" s="4" t="s">
        <v>25</v>
      </c>
      <c r="N63" s="4" t="n">
        <v>3</v>
      </c>
      <c r="O63" s="4" t="n">
        <v>0</v>
      </c>
      <c r="P63" s="4" t="n">
        <v>2.59</v>
      </c>
    </row>
    <row r="64" customFormat="false" ht="15" hidden="false" customHeight="false" outlineLevel="0" collapsed="false">
      <c r="A64" s="5" t="s">
        <v>105</v>
      </c>
      <c r="B64" s="5" t="s">
        <v>84</v>
      </c>
      <c r="C64" s="6" t="s">
        <v>85</v>
      </c>
      <c r="D64" s="6" t="n">
        <v>27</v>
      </c>
      <c r="E64" s="6" t="n">
        <v>19</v>
      </c>
      <c r="F64" s="8" t="n">
        <v>8</v>
      </c>
      <c r="G64" s="6" t="n">
        <v>0.75</v>
      </c>
      <c r="H64" s="6" t="n">
        <v>14</v>
      </c>
      <c r="I64" s="6" t="n">
        <v>11</v>
      </c>
      <c r="J64" s="7" t="n">
        <v>2</v>
      </c>
      <c r="K64" s="6" t="n">
        <v>7</v>
      </c>
      <c r="L64" s="6" t="s">
        <v>20</v>
      </c>
      <c r="M64" s="6" t="s">
        <v>25</v>
      </c>
      <c r="N64" s="6" t="n">
        <v>1</v>
      </c>
      <c r="O64" s="6" t="n">
        <v>0</v>
      </c>
      <c r="P64" s="6" t="n">
        <v>2.65</v>
      </c>
    </row>
    <row r="65" customFormat="false" ht="15" hidden="false" customHeight="false" outlineLevel="0" collapsed="false">
      <c r="A65" s="3" t="s">
        <v>106</v>
      </c>
      <c r="B65" s="3" t="s">
        <v>18</v>
      </c>
      <c r="C65" s="4" t="s">
        <v>19</v>
      </c>
      <c r="D65" s="4" t="n">
        <v>43</v>
      </c>
      <c r="E65" s="4" t="n">
        <v>31</v>
      </c>
      <c r="F65" s="8" t="n">
        <v>12</v>
      </c>
      <c r="G65" s="4" t="n">
        <v>0.75</v>
      </c>
      <c r="H65" s="4" t="n">
        <v>23</v>
      </c>
      <c r="I65" s="4" t="n">
        <v>8</v>
      </c>
      <c r="J65" s="7" t="n">
        <v>12</v>
      </c>
      <c r="K65" s="4" t="n">
        <v>11</v>
      </c>
      <c r="L65" s="7" t="s">
        <v>64</v>
      </c>
      <c r="M65" s="4" t="s">
        <v>21</v>
      </c>
      <c r="N65" s="4" t="n">
        <v>5</v>
      </c>
      <c r="O65" s="4" t="n">
        <v>0</v>
      </c>
      <c r="P65" s="4" t="n">
        <v>2.42</v>
      </c>
    </row>
    <row r="66" customFormat="false" ht="15" hidden="false" customHeight="false" outlineLevel="0" collapsed="false">
      <c r="A66" s="5" t="s">
        <v>107</v>
      </c>
      <c r="B66" s="5" t="s">
        <v>32</v>
      </c>
      <c r="C66" s="6" t="s">
        <v>33</v>
      </c>
      <c r="D66" s="6" t="n">
        <v>22</v>
      </c>
      <c r="E66" s="6" t="n">
        <v>10</v>
      </c>
      <c r="F66" s="8" t="n">
        <v>12</v>
      </c>
      <c r="G66" s="6" t="n">
        <v>0.75</v>
      </c>
      <c r="H66" s="6" t="n">
        <v>8</v>
      </c>
      <c r="I66" s="6" t="n">
        <v>16</v>
      </c>
      <c r="J66" s="6" t="n">
        <v>0</v>
      </c>
      <c r="K66" s="6" t="n">
        <v>12</v>
      </c>
      <c r="L66" s="7" t="s">
        <v>64</v>
      </c>
      <c r="M66" s="6" t="s">
        <v>44</v>
      </c>
      <c r="N66" s="6" t="n">
        <v>5</v>
      </c>
      <c r="O66" s="6" t="n">
        <v>0</v>
      </c>
      <c r="P66" s="6" t="n">
        <v>0.61</v>
      </c>
    </row>
    <row r="67" customFormat="false" ht="15" hidden="false" customHeight="false" outlineLevel="0" collapsed="false">
      <c r="A67" s="3" t="s">
        <v>108</v>
      </c>
      <c r="B67" s="3" t="s">
        <v>47</v>
      </c>
      <c r="C67" s="4" t="s">
        <v>48</v>
      </c>
      <c r="D67" s="4" t="n">
        <v>30</v>
      </c>
      <c r="E67" s="4" t="n">
        <v>22</v>
      </c>
      <c r="F67" s="8" t="n">
        <v>8</v>
      </c>
      <c r="G67" s="4" t="n">
        <v>0.75</v>
      </c>
      <c r="H67" s="4" t="n">
        <v>16</v>
      </c>
      <c r="I67" s="4" t="n">
        <v>7</v>
      </c>
      <c r="J67" s="7" t="n">
        <v>7</v>
      </c>
      <c r="K67" s="4" t="n">
        <v>7</v>
      </c>
      <c r="L67" s="4" t="s">
        <v>20</v>
      </c>
      <c r="M67" s="4" t="s">
        <v>36</v>
      </c>
      <c r="N67" s="4" t="n">
        <v>4</v>
      </c>
      <c r="O67" s="4" t="n">
        <v>0</v>
      </c>
      <c r="P67" s="4" t="n">
        <v>1.46</v>
      </c>
    </row>
    <row r="68" customFormat="false" ht="15" hidden="false" customHeight="false" outlineLevel="0" collapsed="false">
      <c r="A68" s="5" t="s">
        <v>109</v>
      </c>
      <c r="B68" s="5" t="s">
        <v>38</v>
      </c>
      <c r="C68" s="6" t="s">
        <v>39</v>
      </c>
      <c r="D68" s="6" t="n">
        <v>30</v>
      </c>
      <c r="E68" s="6" t="n">
        <v>28</v>
      </c>
      <c r="F68" s="6" t="n">
        <v>2</v>
      </c>
      <c r="G68" s="6" t="n">
        <v>0.75</v>
      </c>
      <c r="H68" s="6" t="n">
        <v>21</v>
      </c>
      <c r="I68" s="6" t="n">
        <v>9</v>
      </c>
      <c r="J68" s="6" t="n">
        <v>0</v>
      </c>
      <c r="K68" s="6" t="n">
        <v>1</v>
      </c>
      <c r="L68" s="6" t="s">
        <v>20</v>
      </c>
      <c r="M68" s="6" t="s">
        <v>21</v>
      </c>
      <c r="N68" s="6" t="n">
        <v>4</v>
      </c>
      <c r="O68" s="6" t="n">
        <v>0</v>
      </c>
      <c r="P68" s="6" t="n">
        <v>1.86</v>
      </c>
    </row>
    <row r="69" customFormat="false" ht="15" hidden="false" customHeight="false" outlineLevel="0" collapsed="false">
      <c r="A69" s="3" t="s">
        <v>110</v>
      </c>
      <c r="B69" s="3" t="s">
        <v>18</v>
      </c>
      <c r="C69" s="4" t="s">
        <v>19</v>
      </c>
      <c r="D69" s="4" t="n">
        <v>38</v>
      </c>
      <c r="E69" s="4" t="n">
        <v>28</v>
      </c>
      <c r="F69" s="8" t="n">
        <v>10</v>
      </c>
      <c r="G69" s="4" t="n">
        <v>0.75</v>
      </c>
      <c r="H69" s="4" t="n">
        <v>21</v>
      </c>
      <c r="I69" s="4" t="n">
        <v>5</v>
      </c>
      <c r="J69" s="7" t="n">
        <v>12</v>
      </c>
      <c r="K69" s="4" t="n">
        <v>11</v>
      </c>
      <c r="L69" s="7" t="s">
        <v>64</v>
      </c>
      <c r="M69" s="4" t="s">
        <v>21</v>
      </c>
      <c r="N69" s="4" t="n">
        <v>2</v>
      </c>
      <c r="O69" s="4" t="n">
        <v>0</v>
      </c>
      <c r="P69" s="4" t="n">
        <v>1.84</v>
      </c>
    </row>
    <row r="70" customFormat="false" ht="15" hidden="false" customHeight="false" outlineLevel="0" collapsed="false">
      <c r="A70" s="5" t="s">
        <v>111</v>
      </c>
      <c r="B70" s="5" t="s">
        <v>32</v>
      </c>
      <c r="C70" s="6" t="s">
        <v>33</v>
      </c>
      <c r="D70" s="6" t="n">
        <v>21</v>
      </c>
      <c r="E70" s="6" t="n">
        <v>10</v>
      </c>
      <c r="F70" s="8" t="n">
        <v>11</v>
      </c>
      <c r="G70" s="6" t="n">
        <v>0.75</v>
      </c>
      <c r="H70" s="6" t="n">
        <v>8</v>
      </c>
      <c r="I70" s="6" t="n">
        <v>5</v>
      </c>
      <c r="J70" s="7" t="n">
        <v>8</v>
      </c>
      <c r="K70" s="6" t="n">
        <v>11</v>
      </c>
      <c r="L70" s="7" t="s">
        <v>64</v>
      </c>
      <c r="M70" s="6" t="s">
        <v>36</v>
      </c>
      <c r="N70" s="6" t="n">
        <v>3</v>
      </c>
      <c r="O70" s="6" t="n">
        <v>0</v>
      </c>
      <c r="P70" s="6" t="n">
        <v>1.02</v>
      </c>
    </row>
    <row r="71" customFormat="false" ht="15" hidden="false" customHeight="false" outlineLevel="0" collapsed="false">
      <c r="A71" s="3" t="s">
        <v>112</v>
      </c>
      <c r="B71" s="3" t="s">
        <v>23</v>
      </c>
      <c r="C71" s="4" t="s">
        <v>24</v>
      </c>
      <c r="D71" s="4" t="n">
        <v>23</v>
      </c>
      <c r="E71" s="4" t="n">
        <v>13</v>
      </c>
      <c r="F71" s="8" t="n">
        <v>10</v>
      </c>
      <c r="G71" s="4" t="n">
        <v>0.75</v>
      </c>
      <c r="H71" s="4" t="n">
        <v>10</v>
      </c>
      <c r="I71" s="4" t="n">
        <v>15</v>
      </c>
      <c r="J71" s="4" t="n">
        <v>0</v>
      </c>
      <c r="K71" s="4" t="n">
        <v>10</v>
      </c>
      <c r="L71" s="4" t="s">
        <v>20</v>
      </c>
      <c r="M71" s="4" t="s">
        <v>25</v>
      </c>
      <c r="N71" s="4" t="n">
        <v>2</v>
      </c>
      <c r="O71" s="4" t="n">
        <v>0</v>
      </c>
      <c r="P71" s="4" t="n">
        <v>2.15</v>
      </c>
    </row>
    <row r="72" customFormat="false" ht="15" hidden="false" customHeight="false" outlineLevel="0" collapsed="false">
      <c r="A72" s="5" t="s">
        <v>113</v>
      </c>
      <c r="B72" s="5" t="s">
        <v>55</v>
      </c>
      <c r="C72" s="6" t="s">
        <v>56</v>
      </c>
      <c r="D72" s="6" t="n">
        <v>29</v>
      </c>
      <c r="E72" s="6" t="n">
        <v>27</v>
      </c>
      <c r="F72" s="6" t="n">
        <v>2</v>
      </c>
      <c r="G72" s="6" t="n">
        <v>0.75</v>
      </c>
      <c r="H72" s="6" t="n">
        <v>20</v>
      </c>
      <c r="I72" s="6" t="n">
        <v>9</v>
      </c>
      <c r="J72" s="6" t="n">
        <v>0</v>
      </c>
      <c r="K72" s="6" t="n">
        <v>2</v>
      </c>
      <c r="L72" s="6" t="s">
        <v>20</v>
      </c>
      <c r="M72" s="6" t="s">
        <v>21</v>
      </c>
      <c r="N72" s="6" t="n">
        <v>2</v>
      </c>
      <c r="O72" s="6" t="n">
        <v>0</v>
      </c>
      <c r="P72" s="6" t="n">
        <v>1.25</v>
      </c>
    </row>
    <row r="73" customFormat="false" ht="15" hidden="false" customHeight="false" outlineLevel="0" collapsed="false">
      <c r="A73" s="3" t="s">
        <v>114</v>
      </c>
      <c r="B73" s="3" t="s">
        <v>55</v>
      </c>
      <c r="C73" s="4" t="s">
        <v>56</v>
      </c>
      <c r="D73" s="4" t="n">
        <v>43</v>
      </c>
      <c r="E73" s="4" t="n">
        <v>28</v>
      </c>
      <c r="F73" s="8" t="n">
        <v>15</v>
      </c>
      <c r="G73" s="4" t="n">
        <v>0.75</v>
      </c>
      <c r="H73" s="4" t="n">
        <v>21</v>
      </c>
      <c r="I73" s="4" t="n">
        <v>16</v>
      </c>
      <c r="J73" s="7" t="n">
        <v>6</v>
      </c>
      <c r="K73" s="4" t="n">
        <v>15</v>
      </c>
      <c r="L73" s="7" t="s">
        <v>64</v>
      </c>
      <c r="M73" s="4" t="s">
        <v>27</v>
      </c>
      <c r="N73" s="4" t="n">
        <v>5</v>
      </c>
      <c r="O73" s="4" t="n">
        <v>1</v>
      </c>
      <c r="P73" s="4" t="n">
        <v>1.29</v>
      </c>
    </row>
    <row r="74" customFormat="false" ht="15" hidden="false" customHeight="false" outlineLevel="0" collapsed="false">
      <c r="A74" s="5" t="s">
        <v>115</v>
      </c>
      <c r="B74" s="5" t="s">
        <v>18</v>
      </c>
      <c r="C74" s="6" t="s">
        <v>19</v>
      </c>
      <c r="D74" s="6" t="n">
        <v>37</v>
      </c>
      <c r="E74" s="6" t="n">
        <v>26</v>
      </c>
      <c r="F74" s="8" t="n">
        <v>11</v>
      </c>
      <c r="G74" s="6" t="n">
        <v>0.75</v>
      </c>
      <c r="H74" s="6" t="n">
        <v>20</v>
      </c>
      <c r="I74" s="6" t="n">
        <v>17</v>
      </c>
      <c r="J74" s="6" t="n">
        <v>0</v>
      </c>
      <c r="K74" s="6" t="n">
        <v>10</v>
      </c>
      <c r="L74" s="6" t="s">
        <v>20</v>
      </c>
      <c r="M74" s="6" t="s">
        <v>44</v>
      </c>
      <c r="N74" s="6" t="n">
        <v>3</v>
      </c>
      <c r="O74" s="6" t="n">
        <v>0</v>
      </c>
      <c r="P74" s="6" t="n">
        <v>1.85</v>
      </c>
    </row>
    <row r="75" customFormat="false" ht="15" hidden="false" customHeight="false" outlineLevel="0" collapsed="false">
      <c r="A75" s="3" t="s">
        <v>116</v>
      </c>
      <c r="B75" s="3" t="s">
        <v>32</v>
      </c>
      <c r="C75" s="4" t="s">
        <v>33</v>
      </c>
      <c r="D75" s="4" t="n">
        <v>17</v>
      </c>
      <c r="E75" s="4" t="n">
        <v>12</v>
      </c>
      <c r="F75" s="4" t="n">
        <v>5</v>
      </c>
      <c r="G75" s="4" t="n">
        <v>0.75</v>
      </c>
      <c r="H75" s="4" t="n">
        <v>9</v>
      </c>
      <c r="I75" s="4" t="n">
        <v>17</v>
      </c>
      <c r="J75" s="4" t="n">
        <v>0</v>
      </c>
      <c r="K75" s="4" t="n">
        <v>6</v>
      </c>
      <c r="L75" s="4" t="s">
        <v>20</v>
      </c>
      <c r="M75" s="4" t="s">
        <v>44</v>
      </c>
      <c r="N75" s="4" t="n">
        <v>5</v>
      </c>
      <c r="O75" s="4" t="n">
        <v>0</v>
      </c>
      <c r="P75" s="4" t="n">
        <v>1.08</v>
      </c>
    </row>
    <row r="76" customFormat="false" ht="15" hidden="false" customHeight="false" outlineLevel="0" collapsed="false">
      <c r="A76" s="5" t="s">
        <v>117</v>
      </c>
      <c r="B76" s="5" t="s">
        <v>29</v>
      </c>
      <c r="C76" s="6" t="s">
        <v>30</v>
      </c>
      <c r="D76" s="6" t="n">
        <v>15</v>
      </c>
      <c r="E76" s="6" t="n">
        <v>19</v>
      </c>
      <c r="F76" s="6" t="n">
        <v>4</v>
      </c>
      <c r="G76" s="6" t="n">
        <v>0.75</v>
      </c>
      <c r="H76" s="6" t="n">
        <v>14</v>
      </c>
      <c r="I76" s="6" t="n">
        <v>6</v>
      </c>
      <c r="J76" s="6" t="n">
        <v>0</v>
      </c>
      <c r="K76" s="6" t="n">
        <v>3</v>
      </c>
      <c r="L76" s="6" t="s">
        <v>20</v>
      </c>
      <c r="M76" s="6" t="s">
        <v>44</v>
      </c>
      <c r="N76" s="6" t="n">
        <v>4</v>
      </c>
      <c r="O76" s="6" t="n">
        <v>0</v>
      </c>
      <c r="P76" s="6" t="n">
        <v>1.34</v>
      </c>
    </row>
    <row r="77" customFormat="false" ht="15" hidden="false" customHeight="false" outlineLevel="0" collapsed="false">
      <c r="A77" s="3" t="s">
        <v>118</v>
      </c>
      <c r="B77" s="3" t="s">
        <v>42</v>
      </c>
      <c r="C77" s="4" t="s">
        <v>43</v>
      </c>
      <c r="D77" s="4" t="n">
        <v>31</v>
      </c>
      <c r="E77" s="4" t="n">
        <v>33</v>
      </c>
      <c r="F77" s="4" t="n">
        <v>2</v>
      </c>
      <c r="G77" s="4" t="n">
        <v>0.75</v>
      </c>
      <c r="H77" s="4" t="n">
        <v>25</v>
      </c>
      <c r="I77" s="4" t="n">
        <v>15</v>
      </c>
      <c r="J77" s="4" t="n">
        <v>0</v>
      </c>
      <c r="K77" s="4" t="n">
        <v>2</v>
      </c>
      <c r="L77" s="4" t="s">
        <v>20</v>
      </c>
      <c r="M77" s="4" t="s">
        <v>36</v>
      </c>
      <c r="N77" s="4" t="n">
        <v>2</v>
      </c>
      <c r="O77" s="4" t="n">
        <v>0</v>
      </c>
      <c r="P77" s="4" t="n">
        <v>0.92</v>
      </c>
    </row>
    <row r="78" customFormat="false" ht="15" hidden="false" customHeight="false" outlineLevel="0" collapsed="false">
      <c r="A78" s="5" t="s">
        <v>119</v>
      </c>
      <c r="B78" s="5" t="s">
        <v>42</v>
      </c>
      <c r="C78" s="6" t="s">
        <v>43</v>
      </c>
      <c r="D78" s="6" t="n">
        <v>33</v>
      </c>
      <c r="E78" s="6" t="n">
        <v>29</v>
      </c>
      <c r="F78" s="6" t="n">
        <v>4</v>
      </c>
      <c r="G78" s="6" t="n">
        <v>0.75</v>
      </c>
      <c r="H78" s="6" t="n">
        <v>22</v>
      </c>
      <c r="I78" s="6" t="n">
        <v>15</v>
      </c>
      <c r="J78" s="6" t="n">
        <v>0</v>
      </c>
      <c r="K78" s="6" t="n">
        <v>4</v>
      </c>
      <c r="L78" s="6" t="s">
        <v>20</v>
      </c>
      <c r="M78" s="6" t="s">
        <v>21</v>
      </c>
      <c r="N78" s="6" t="n">
        <v>5</v>
      </c>
      <c r="O78" s="6" t="n">
        <v>0</v>
      </c>
      <c r="P78" s="6" t="n">
        <v>0.73</v>
      </c>
    </row>
    <row r="79" customFormat="false" ht="15" hidden="false" customHeight="false" outlineLevel="0" collapsed="false">
      <c r="A79" s="3" t="s">
        <v>120</v>
      </c>
      <c r="B79" s="3" t="s">
        <v>42</v>
      </c>
      <c r="C79" s="4" t="s">
        <v>43</v>
      </c>
      <c r="D79" s="4" t="n">
        <v>37</v>
      </c>
      <c r="E79" s="4" t="n">
        <v>27</v>
      </c>
      <c r="F79" s="8" t="n">
        <v>10</v>
      </c>
      <c r="G79" s="4" t="n">
        <v>0.75</v>
      </c>
      <c r="H79" s="4" t="n">
        <v>20</v>
      </c>
      <c r="I79" s="4" t="n">
        <v>15</v>
      </c>
      <c r="J79" s="7" t="n">
        <v>2</v>
      </c>
      <c r="K79" s="4" t="n">
        <v>11</v>
      </c>
      <c r="L79" s="7" t="s">
        <v>64</v>
      </c>
      <c r="M79" s="4" t="s">
        <v>36</v>
      </c>
      <c r="N79" s="4" t="n">
        <v>3</v>
      </c>
      <c r="O79" s="4" t="n">
        <v>0</v>
      </c>
      <c r="P79" s="4" t="n">
        <v>0.97</v>
      </c>
    </row>
    <row r="80" customFormat="false" ht="15" hidden="false" customHeight="false" outlineLevel="0" collapsed="false">
      <c r="A80" s="5" t="s">
        <v>121</v>
      </c>
      <c r="B80" s="5" t="s">
        <v>42</v>
      </c>
      <c r="C80" s="6" t="s">
        <v>43</v>
      </c>
      <c r="D80" s="6" t="n">
        <v>35</v>
      </c>
      <c r="E80" s="6" t="n">
        <v>34</v>
      </c>
      <c r="F80" s="6" t="n">
        <v>1</v>
      </c>
      <c r="G80" s="6" t="n">
        <v>0.75</v>
      </c>
      <c r="H80" s="6" t="n">
        <v>26</v>
      </c>
      <c r="I80" s="6" t="n">
        <v>15</v>
      </c>
      <c r="J80" s="6" t="n">
        <v>0</v>
      </c>
      <c r="K80" s="6" t="n">
        <v>1</v>
      </c>
      <c r="L80" s="6" t="s">
        <v>20</v>
      </c>
      <c r="M80" s="6" t="s">
        <v>21</v>
      </c>
      <c r="N80" s="6" t="n">
        <v>3</v>
      </c>
      <c r="O80" s="6" t="n">
        <v>1</v>
      </c>
      <c r="P80" s="6" t="n">
        <v>2.24</v>
      </c>
    </row>
    <row r="81" customFormat="false" ht="15" hidden="false" customHeight="false" outlineLevel="0" collapsed="false">
      <c r="A81" s="3" t="s">
        <v>122</v>
      </c>
      <c r="B81" s="3" t="s">
        <v>55</v>
      </c>
      <c r="C81" s="4" t="s">
        <v>56</v>
      </c>
      <c r="D81" s="4" t="n">
        <v>27</v>
      </c>
      <c r="E81" s="4" t="n">
        <v>24</v>
      </c>
      <c r="F81" s="4" t="n">
        <v>3</v>
      </c>
      <c r="G81" s="4" t="n">
        <v>0.75</v>
      </c>
      <c r="H81" s="4" t="n">
        <v>18</v>
      </c>
      <c r="I81" s="4" t="n">
        <v>10</v>
      </c>
      <c r="J81" s="4" t="n">
        <v>0</v>
      </c>
      <c r="K81" s="4" t="n">
        <v>2</v>
      </c>
      <c r="L81" s="4" t="s">
        <v>20</v>
      </c>
      <c r="M81" s="4" t="s">
        <v>21</v>
      </c>
      <c r="N81" s="4" t="n">
        <v>2</v>
      </c>
      <c r="O81" s="4" t="n">
        <v>0</v>
      </c>
      <c r="P81" s="4" t="n">
        <v>2.04</v>
      </c>
    </row>
    <row r="82" customFormat="false" ht="15" hidden="false" customHeight="false" outlineLevel="0" collapsed="false">
      <c r="A82" s="5" t="s">
        <v>123</v>
      </c>
      <c r="B82" s="5" t="s">
        <v>23</v>
      </c>
      <c r="C82" s="6" t="s">
        <v>24</v>
      </c>
      <c r="D82" s="6" t="n">
        <v>14</v>
      </c>
      <c r="E82" s="6" t="n">
        <v>10</v>
      </c>
      <c r="F82" s="6" t="n">
        <v>4</v>
      </c>
      <c r="G82" s="6" t="n">
        <v>0.75</v>
      </c>
      <c r="H82" s="6" t="n">
        <v>8</v>
      </c>
      <c r="I82" s="6" t="n">
        <v>10</v>
      </c>
      <c r="J82" s="6" t="n">
        <v>0</v>
      </c>
      <c r="K82" s="6" t="n">
        <v>5</v>
      </c>
      <c r="L82" s="6" t="s">
        <v>20</v>
      </c>
      <c r="M82" s="6" t="s">
        <v>21</v>
      </c>
      <c r="N82" s="6" t="n">
        <v>3</v>
      </c>
      <c r="O82" s="6" t="n">
        <v>0</v>
      </c>
      <c r="P82" s="6" t="n">
        <v>1.7</v>
      </c>
    </row>
    <row r="83" customFormat="false" ht="15" hidden="false" customHeight="false" outlineLevel="0" collapsed="false">
      <c r="A83" s="3" t="s">
        <v>124</v>
      </c>
      <c r="B83" s="3" t="s">
        <v>84</v>
      </c>
      <c r="C83" s="4" t="s">
        <v>85</v>
      </c>
      <c r="D83" s="4" t="n">
        <v>21</v>
      </c>
      <c r="E83" s="4" t="n">
        <v>11</v>
      </c>
      <c r="F83" s="8" t="n">
        <v>10</v>
      </c>
      <c r="G83" s="4" t="n">
        <v>0.75</v>
      </c>
      <c r="H83" s="4" t="n">
        <v>8</v>
      </c>
      <c r="I83" s="4" t="n">
        <v>14</v>
      </c>
      <c r="J83" s="4" t="n">
        <v>0</v>
      </c>
      <c r="K83" s="4" t="n">
        <v>10</v>
      </c>
      <c r="L83" s="4" t="s">
        <v>20</v>
      </c>
      <c r="M83" s="4" t="s">
        <v>25</v>
      </c>
      <c r="N83" s="4" t="n">
        <v>1</v>
      </c>
      <c r="O83" s="4" t="n">
        <v>0</v>
      </c>
      <c r="P83" s="4" t="n">
        <v>1.21</v>
      </c>
    </row>
    <row r="84" customFormat="false" ht="15" hidden="false" customHeight="false" outlineLevel="0" collapsed="false">
      <c r="A84" s="5" t="s">
        <v>125</v>
      </c>
      <c r="B84" s="5" t="s">
        <v>42</v>
      </c>
      <c r="C84" s="6" t="s">
        <v>43</v>
      </c>
      <c r="D84" s="6" t="n">
        <v>37</v>
      </c>
      <c r="E84" s="6" t="n">
        <v>34</v>
      </c>
      <c r="F84" s="6" t="n">
        <v>3</v>
      </c>
      <c r="G84" s="6" t="n">
        <v>0.75</v>
      </c>
      <c r="H84" s="6" t="n">
        <v>26</v>
      </c>
      <c r="I84" s="6" t="n">
        <v>11</v>
      </c>
      <c r="J84" s="6" t="n">
        <v>0</v>
      </c>
      <c r="K84" s="6" t="n">
        <v>3</v>
      </c>
      <c r="L84" s="6" t="s">
        <v>20</v>
      </c>
      <c r="M84" s="6" t="s">
        <v>27</v>
      </c>
      <c r="N84" s="6" t="n">
        <v>1</v>
      </c>
      <c r="O84" s="6" t="n">
        <v>0</v>
      </c>
      <c r="P84" s="6" t="n">
        <v>0.95</v>
      </c>
    </row>
    <row r="85" customFormat="false" ht="15" hidden="false" customHeight="false" outlineLevel="0" collapsed="false">
      <c r="A85" s="3" t="s">
        <v>126</v>
      </c>
      <c r="B85" s="3" t="s">
        <v>47</v>
      </c>
      <c r="C85" s="4" t="s">
        <v>48</v>
      </c>
      <c r="D85" s="4" t="n">
        <v>32</v>
      </c>
      <c r="E85" s="4" t="n">
        <v>19</v>
      </c>
      <c r="F85" s="8" t="n">
        <v>13</v>
      </c>
      <c r="G85" s="4" t="n">
        <v>0.75</v>
      </c>
      <c r="H85" s="4" t="n">
        <v>14</v>
      </c>
      <c r="I85" s="4" t="n">
        <v>9</v>
      </c>
      <c r="J85" s="7" t="n">
        <v>9</v>
      </c>
      <c r="K85" s="4" t="n">
        <v>14</v>
      </c>
      <c r="L85" s="7" t="s">
        <v>64</v>
      </c>
      <c r="M85" s="4" t="s">
        <v>25</v>
      </c>
      <c r="N85" s="4" t="n">
        <v>5</v>
      </c>
      <c r="O85" s="4" t="n">
        <v>0</v>
      </c>
      <c r="P85" s="4" t="n">
        <v>1.69</v>
      </c>
    </row>
    <row r="86" customFormat="false" ht="15" hidden="false" customHeight="false" outlineLevel="0" collapsed="false">
      <c r="A86" s="5" t="s">
        <v>127</v>
      </c>
      <c r="B86" s="5" t="s">
        <v>47</v>
      </c>
      <c r="C86" s="6" t="s">
        <v>48</v>
      </c>
      <c r="D86" s="6" t="n">
        <v>31</v>
      </c>
      <c r="E86" s="6" t="n">
        <v>22</v>
      </c>
      <c r="F86" s="8" t="n">
        <v>9</v>
      </c>
      <c r="G86" s="6" t="n">
        <v>0.75</v>
      </c>
      <c r="H86" s="6" t="n">
        <v>16</v>
      </c>
      <c r="I86" s="6" t="n">
        <v>14</v>
      </c>
      <c r="J86" s="7" t="n">
        <v>1</v>
      </c>
      <c r="K86" s="6" t="n">
        <v>10</v>
      </c>
      <c r="L86" s="6" t="s">
        <v>20</v>
      </c>
      <c r="M86" s="6" t="s">
        <v>36</v>
      </c>
      <c r="N86" s="6" t="n">
        <v>5</v>
      </c>
      <c r="O86" s="6" t="n">
        <v>1</v>
      </c>
      <c r="P86" s="6" t="n">
        <v>1.43</v>
      </c>
    </row>
    <row r="87" customFormat="false" ht="15" hidden="false" customHeight="false" outlineLevel="0" collapsed="false">
      <c r="A87" s="3" t="s">
        <v>128</v>
      </c>
      <c r="B87" s="3" t="s">
        <v>47</v>
      </c>
      <c r="C87" s="4" t="s">
        <v>48</v>
      </c>
      <c r="D87" s="4" t="n">
        <v>29</v>
      </c>
      <c r="E87" s="4" t="n">
        <v>20</v>
      </c>
      <c r="F87" s="8" t="n">
        <v>9</v>
      </c>
      <c r="G87" s="4" t="n">
        <v>0.75</v>
      </c>
      <c r="H87" s="4" t="n">
        <v>15</v>
      </c>
      <c r="I87" s="4" t="n">
        <v>11</v>
      </c>
      <c r="J87" s="7" t="n">
        <v>3</v>
      </c>
      <c r="K87" s="4" t="n">
        <v>10</v>
      </c>
      <c r="L87" s="4" t="s">
        <v>20</v>
      </c>
      <c r="M87" s="4" t="s">
        <v>36</v>
      </c>
      <c r="N87" s="4" t="n">
        <v>4</v>
      </c>
      <c r="O87" s="4" t="n">
        <v>1</v>
      </c>
      <c r="P87" s="4" t="n">
        <v>2.52</v>
      </c>
    </row>
    <row r="88" customFormat="false" ht="15" hidden="false" customHeight="false" outlineLevel="0" collapsed="false">
      <c r="A88" s="5" t="s">
        <v>129</v>
      </c>
      <c r="B88" s="5" t="s">
        <v>29</v>
      </c>
      <c r="C88" s="6" t="s">
        <v>30</v>
      </c>
      <c r="D88" s="6" t="n">
        <v>23</v>
      </c>
      <c r="E88" s="6" t="n">
        <v>14</v>
      </c>
      <c r="F88" s="8" t="n">
        <v>9</v>
      </c>
      <c r="G88" s="6" t="n">
        <v>0.75</v>
      </c>
      <c r="H88" s="6" t="n">
        <v>10</v>
      </c>
      <c r="I88" s="6" t="n">
        <v>7</v>
      </c>
      <c r="J88" s="7" t="n">
        <v>6</v>
      </c>
      <c r="K88" s="6" t="n">
        <v>10</v>
      </c>
      <c r="L88" s="6" t="s">
        <v>20</v>
      </c>
      <c r="M88" s="6" t="s">
        <v>36</v>
      </c>
      <c r="N88" s="6" t="n">
        <v>5</v>
      </c>
      <c r="O88" s="6" t="n">
        <v>0</v>
      </c>
      <c r="P88" s="6" t="n">
        <v>0.77</v>
      </c>
    </row>
    <row r="89" customFormat="false" ht="15" hidden="false" customHeight="false" outlineLevel="0" collapsed="false">
      <c r="A89" s="3" t="s">
        <v>130</v>
      </c>
      <c r="B89" s="3" t="s">
        <v>55</v>
      </c>
      <c r="C89" s="4" t="s">
        <v>56</v>
      </c>
      <c r="D89" s="4" t="n">
        <v>31</v>
      </c>
      <c r="E89" s="4" t="n">
        <v>29</v>
      </c>
      <c r="F89" s="4" t="n">
        <v>2</v>
      </c>
      <c r="G89" s="4" t="n">
        <v>0.75</v>
      </c>
      <c r="H89" s="4" t="n">
        <v>22</v>
      </c>
      <c r="I89" s="4" t="n">
        <v>9</v>
      </c>
      <c r="J89" s="4" t="n">
        <v>0</v>
      </c>
      <c r="K89" s="4" t="n">
        <v>1</v>
      </c>
      <c r="L89" s="4" t="s">
        <v>20</v>
      </c>
      <c r="M89" s="4" t="s">
        <v>21</v>
      </c>
      <c r="N89" s="4" t="n">
        <v>4</v>
      </c>
      <c r="O89" s="4" t="n">
        <v>0</v>
      </c>
      <c r="P89" s="4" t="n">
        <v>1.47</v>
      </c>
    </row>
    <row r="90" customFormat="false" ht="15" hidden="false" customHeight="false" outlineLevel="0" collapsed="false">
      <c r="A90" s="5" t="s">
        <v>131</v>
      </c>
      <c r="B90" s="5" t="s">
        <v>32</v>
      </c>
      <c r="C90" s="6" t="s">
        <v>33</v>
      </c>
      <c r="D90" s="6" t="n">
        <v>19</v>
      </c>
      <c r="E90" s="6" t="n">
        <v>7</v>
      </c>
      <c r="F90" s="8" t="n">
        <v>12</v>
      </c>
      <c r="G90" s="6" t="n">
        <v>0.75</v>
      </c>
      <c r="H90" s="6" t="n">
        <v>5</v>
      </c>
      <c r="I90" s="6" t="n">
        <v>8</v>
      </c>
      <c r="J90" s="7" t="n">
        <v>6</v>
      </c>
      <c r="K90" s="6" t="n">
        <v>12</v>
      </c>
      <c r="L90" s="7" t="s">
        <v>64</v>
      </c>
      <c r="M90" s="6" t="s">
        <v>27</v>
      </c>
      <c r="N90" s="6" t="n">
        <v>3</v>
      </c>
      <c r="O90" s="6" t="n">
        <v>0</v>
      </c>
      <c r="P90" s="6" t="n">
        <v>2.48</v>
      </c>
    </row>
    <row r="91" customFormat="false" ht="15" hidden="false" customHeight="false" outlineLevel="0" collapsed="false">
      <c r="A91" s="3" t="s">
        <v>132</v>
      </c>
      <c r="B91" s="3" t="s">
        <v>29</v>
      </c>
      <c r="C91" s="4" t="s">
        <v>30</v>
      </c>
      <c r="D91" s="4" t="n">
        <v>24</v>
      </c>
      <c r="E91" s="4" t="n">
        <v>10</v>
      </c>
      <c r="F91" s="8" t="n">
        <v>14</v>
      </c>
      <c r="G91" s="4" t="n">
        <v>0.75</v>
      </c>
      <c r="H91" s="4" t="n">
        <v>8</v>
      </c>
      <c r="I91" s="4" t="n">
        <v>5</v>
      </c>
      <c r="J91" s="7" t="n">
        <v>11</v>
      </c>
      <c r="K91" s="4" t="n">
        <v>14</v>
      </c>
      <c r="L91" s="7" t="s">
        <v>64</v>
      </c>
      <c r="M91" s="4" t="s">
        <v>27</v>
      </c>
      <c r="N91" s="4" t="n">
        <v>4</v>
      </c>
      <c r="O91" s="4" t="n">
        <v>0</v>
      </c>
      <c r="P91" s="4" t="n">
        <v>1.05</v>
      </c>
    </row>
    <row r="92" customFormat="false" ht="15" hidden="false" customHeight="false" outlineLevel="0" collapsed="false">
      <c r="A92" s="5" t="s">
        <v>133</v>
      </c>
      <c r="B92" s="5" t="s">
        <v>47</v>
      </c>
      <c r="C92" s="6" t="s">
        <v>48</v>
      </c>
      <c r="D92" s="6" t="n">
        <v>23</v>
      </c>
      <c r="E92" s="6" t="n">
        <v>21</v>
      </c>
      <c r="F92" s="6" t="n">
        <v>2</v>
      </c>
      <c r="G92" s="6" t="n">
        <v>0.75</v>
      </c>
      <c r="H92" s="6" t="n">
        <v>16</v>
      </c>
      <c r="I92" s="6" t="n">
        <v>5</v>
      </c>
      <c r="J92" s="7" t="n">
        <v>2</v>
      </c>
      <c r="K92" s="6" t="n">
        <v>1</v>
      </c>
      <c r="L92" s="6" t="s">
        <v>20</v>
      </c>
      <c r="M92" s="6" t="s">
        <v>27</v>
      </c>
      <c r="N92" s="6" t="n">
        <v>2</v>
      </c>
      <c r="O92" s="6" t="n">
        <v>0</v>
      </c>
      <c r="P92" s="6" t="n">
        <v>0.67</v>
      </c>
    </row>
    <row r="93" customFormat="false" ht="15" hidden="false" customHeight="false" outlineLevel="0" collapsed="false">
      <c r="A93" s="3" t="s">
        <v>134</v>
      </c>
      <c r="B93" s="3" t="s">
        <v>55</v>
      </c>
      <c r="C93" s="4" t="s">
        <v>56</v>
      </c>
      <c r="D93" s="4" t="n">
        <v>39</v>
      </c>
      <c r="E93" s="4" t="n">
        <v>29</v>
      </c>
      <c r="F93" s="8" t="n">
        <v>10</v>
      </c>
      <c r="G93" s="4" t="n">
        <v>0.75</v>
      </c>
      <c r="H93" s="4" t="n">
        <v>22</v>
      </c>
      <c r="I93" s="4" t="n">
        <v>12</v>
      </c>
      <c r="J93" s="7" t="n">
        <v>5</v>
      </c>
      <c r="K93" s="4" t="n">
        <v>9</v>
      </c>
      <c r="L93" s="4" t="s">
        <v>20</v>
      </c>
      <c r="M93" s="4" t="s">
        <v>27</v>
      </c>
      <c r="N93" s="4" t="n">
        <v>5</v>
      </c>
      <c r="O93" s="4" t="n">
        <v>0</v>
      </c>
      <c r="P93" s="4" t="n">
        <v>2.77</v>
      </c>
    </row>
    <row r="94" customFormat="false" ht="15" hidden="false" customHeight="false" outlineLevel="0" collapsed="false">
      <c r="A94" s="5" t="s">
        <v>135</v>
      </c>
      <c r="B94" s="5" t="s">
        <v>47</v>
      </c>
      <c r="C94" s="6" t="s">
        <v>48</v>
      </c>
      <c r="D94" s="6" t="n">
        <v>23</v>
      </c>
      <c r="E94" s="6" t="n">
        <v>16</v>
      </c>
      <c r="F94" s="6" t="n">
        <v>7</v>
      </c>
      <c r="G94" s="6" t="n">
        <v>0.75</v>
      </c>
      <c r="H94" s="6" t="n">
        <v>12</v>
      </c>
      <c r="I94" s="6" t="n">
        <v>4</v>
      </c>
      <c r="J94" s="7" t="n">
        <v>7</v>
      </c>
      <c r="K94" s="6" t="n">
        <v>6</v>
      </c>
      <c r="L94" s="6" t="s">
        <v>20</v>
      </c>
      <c r="M94" s="6" t="s">
        <v>44</v>
      </c>
      <c r="N94" s="6" t="n">
        <v>2</v>
      </c>
      <c r="O94" s="6" t="n">
        <v>0</v>
      </c>
      <c r="P94" s="6" t="n">
        <v>1.29</v>
      </c>
    </row>
    <row r="95" customFormat="false" ht="15" hidden="false" customHeight="false" outlineLevel="0" collapsed="false">
      <c r="A95" s="3" t="s">
        <v>136</v>
      </c>
      <c r="B95" s="3" t="s">
        <v>29</v>
      </c>
      <c r="C95" s="4" t="s">
        <v>30</v>
      </c>
      <c r="D95" s="4" t="n">
        <v>13</v>
      </c>
      <c r="E95" s="4" t="n">
        <v>14</v>
      </c>
      <c r="F95" s="4" t="n">
        <v>1</v>
      </c>
      <c r="G95" s="4" t="n">
        <v>0.75</v>
      </c>
      <c r="H95" s="4" t="n">
        <v>10</v>
      </c>
      <c r="I95" s="4" t="n">
        <v>16</v>
      </c>
      <c r="J95" s="4" t="n">
        <v>0</v>
      </c>
      <c r="K95" s="4" t="n">
        <v>2</v>
      </c>
      <c r="L95" s="4" t="s">
        <v>20</v>
      </c>
      <c r="M95" s="4" t="s">
        <v>21</v>
      </c>
      <c r="N95" s="4" t="n">
        <v>2</v>
      </c>
      <c r="O95" s="4" t="n">
        <v>0</v>
      </c>
      <c r="P95" s="4" t="n">
        <v>1</v>
      </c>
    </row>
    <row r="96" customFormat="false" ht="15" hidden="false" customHeight="false" outlineLevel="0" collapsed="false">
      <c r="A96" s="5" t="s">
        <v>137</v>
      </c>
      <c r="B96" s="5" t="s">
        <v>38</v>
      </c>
      <c r="C96" s="6" t="s">
        <v>39</v>
      </c>
      <c r="D96" s="6" t="n">
        <v>24</v>
      </c>
      <c r="E96" s="6" t="n">
        <v>20</v>
      </c>
      <c r="F96" s="6" t="n">
        <v>4</v>
      </c>
      <c r="G96" s="6" t="n">
        <v>0.75</v>
      </c>
      <c r="H96" s="6" t="n">
        <v>15</v>
      </c>
      <c r="I96" s="6" t="n">
        <v>8</v>
      </c>
      <c r="J96" s="7" t="n">
        <v>1</v>
      </c>
      <c r="K96" s="6" t="n">
        <v>5</v>
      </c>
      <c r="L96" s="6" t="s">
        <v>20</v>
      </c>
      <c r="M96" s="6" t="s">
        <v>21</v>
      </c>
      <c r="N96" s="6" t="n">
        <v>4</v>
      </c>
      <c r="O96" s="6" t="n">
        <v>0</v>
      </c>
      <c r="P96" s="6" t="n">
        <v>2.26</v>
      </c>
    </row>
    <row r="97" customFormat="false" ht="15" hidden="false" customHeight="false" outlineLevel="0" collapsed="false">
      <c r="A97" s="3" t="s">
        <v>138</v>
      </c>
      <c r="B97" s="3" t="s">
        <v>55</v>
      </c>
      <c r="C97" s="4" t="s">
        <v>56</v>
      </c>
      <c r="D97" s="4" t="n">
        <v>25</v>
      </c>
      <c r="E97" s="4" t="n">
        <v>24</v>
      </c>
      <c r="F97" s="4" t="n">
        <v>1</v>
      </c>
      <c r="G97" s="4" t="n">
        <v>0.75</v>
      </c>
      <c r="H97" s="4" t="n">
        <v>18</v>
      </c>
      <c r="I97" s="4" t="n">
        <v>15</v>
      </c>
      <c r="J97" s="4" t="n">
        <v>0</v>
      </c>
      <c r="K97" s="4" t="n">
        <v>1</v>
      </c>
      <c r="L97" s="4" t="s">
        <v>20</v>
      </c>
      <c r="M97" s="4" t="s">
        <v>21</v>
      </c>
      <c r="N97" s="4" t="n">
        <v>1</v>
      </c>
      <c r="O97" s="4" t="n">
        <v>0</v>
      </c>
      <c r="P97" s="4" t="n">
        <v>2.02</v>
      </c>
    </row>
    <row r="98" customFormat="false" ht="15" hidden="false" customHeight="false" outlineLevel="0" collapsed="false">
      <c r="A98" s="5" t="s">
        <v>139</v>
      </c>
      <c r="B98" s="5" t="s">
        <v>84</v>
      </c>
      <c r="C98" s="6" t="s">
        <v>85</v>
      </c>
      <c r="D98" s="6" t="n">
        <v>26</v>
      </c>
      <c r="E98" s="6" t="n">
        <v>18</v>
      </c>
      <c r="F98" s="8" t="n">
        <v>8</v>
      </c>
      <c r="G98" s="6" t="n">
        <v>0.75</v>
      </c>
      <c r="H98" s="6" t="n">
        <v>14</v>
      </c>
      <c r="I98" s="6" t="n">
        <v>17</v>
      </c>
      <c r="J98" s="6" t="n">
        <v>0</v>
      </c>
      <c r="K98" s="6" t="n">
        <v>9</v>
      </c>
      <c r="L98" s="6" t="s">
        <v>20</v>
      </c>
      <c r="M98" s="6" t="s">
        <v>44</v>
      </c>
      <c r="N98" s="6" t="n">
        <v>2</v>
      </c>
      <c r="O98" s="6" t="n">
        <v>0</v>
      </c>
      <c r="P98" s="6" t="n">
        <v>1.07</v>
      </c>
    </row>
    <row r="99" customFormat="false" ht="15" hidden="false" customHeight="false" outlineLevel="0" collapsed="false">
      <c r="A99" s="3" t="s">
        <v>140</v>
      </c>
      <c r="B99" s="3" t="s">
        <v>38</v>
      </c>
      <c r="C99" s="4" t="s">
        <v>39</v>
      </c>
      <c r="D99" s="4" t="n">
        <v>37</v>
      </c>
      <c r="E99" s="4" t="n">
        <v>25</v>
      </c>
      <c r="F99" s="8" t="n">
        <v>12</v>
      </c>
      <c r="G99" s="4" t="n">
        <v>0.75</v>
      </c>
      <c r="H99" s="4" t="n">
        <v>19</v>
      </c>
      <c r="I99" s="4" t="n">
        <v>11</v>
      </c>
      <c r="J99" s="7" t="n">
        <v>7</v>
      </c>
      <c r="K99" s="4" t="n">
        <v>12</v>
      </c>
      <c r="L99" s="7" t="s">
        <v>64</v>
      </c>
      <c r="M99" s="4" t="s">
        <v>25</v>
      </c>
      <c r="N99" s="4" t="n">
        <v>4</v>
      </c>
      <c r="O99" s="4" t="n">
        <v>0</v>
      </c>
      <c r="P99" s="4" t="n">
        <v>1.87</v>
      </c>
    </row>
    <row r="100" customFormat="false" ht="15" hidden="false" customHeight="false" outlineLevel="0" collapsed="false">
      <c r="A100" s="5" t="s">
        <v>141</v>
      </c>
      <c r="B100" s="5" t="s">
        <v>29</v>
      </c>
      <c r="C100" s="6" t="s">
        <v>30</v>
      </c>
      <c r="D100" s="6" t="n">
        <v>28</v>
      </c>
      <c r="E100" s="6" t="n">
        <v>15</v>
      </c>
      <c r="F100" s="8" t="n">
        <v>13</v>
      </c>
      <c r="G100" s="6" t="n">
        <v>0.75</v>
      </c>
      <c r="H100" s="6" t="n">
        <v>11</v>
      </c>
      <c r="I100" s="6" t="n">
        <v>11</v>
      </c>
      <c r="J100" s="7" t="n">
        <v>6</v>
      </c>
      <c r="K100" s="6" t="n">
        <v>14</v>
      </c>
      <c r="L100" s="7" t="s">
        <v>64</v>
      </c>
      <c r="M100" s="6" t="s">
        <v>36</v>
      </c>
      <c r="N100" s="6" t="n">
        <v>5</v>
      </c>
      <c r="O100" s="6" t="n">
        <v>0</v>
      </c>
      <c r="P100" s="6" t="n">
        <v>0.99</v>
      </c>
    </row>
    <row r="101" customFormat="false" ht="15" hidden="false" customHeight="false" outlineLevel="0" collapsed="false">
      <c r="A101" s="3" t="s">
        <v>142</v>
      </c>
      <c r="B101" s="3" t="s">
        <v>84</v>
      </c>
      <c r="C101" s="4" t="s">
        <v>85</v>
      </c>
      <c r="D101" s="4" t="n">
        <v>24</v>
      </c>
      <c r="E101" s="4" t="n">
        <v>15</v>
      </c>
      <c r="F101" s="8" t="n">
        <v>9</v>
      </c>
      <c r="G101" s="4" t="n">
        <v>0.75</v>
      </c>
      <c r="H101" s="4" t="n">
        <v>11</v>
      </c>
      <c r="I101" s="4" t="n">
        <v>7</v>
      </c>
      <c r="J101" s="7" t="n">
        <v>6</v>
      </c>
      <c r="K101" s="4" t="n">
        <v>9</v>
      </c>
      <c r="L101" s="4" t="s">
        <v>20</v>
      </c>
      <c r="M101" s="4" t="s">
        <v>21</v>
      </c>
      <c r="N101" s="4" t="n">
        <v>2</v>
      </c>
      <c r="O101" s="4" t="n">
        <v>0</v>
      </c>
      <c r="P101" s="4" t="n">
        <v>1.84</v>
      </c>
    </row>
    <row r="102" customFormat="false" ht="15" hidden="false" customHeight="false" outlineLevel="0" collapsed="false">
      <c r="A102" s="5" t="s">
        <v>143</v>
      </c>
      <c r="B102" s="5" t="s">
        <v>47</v>
      </c>
      <c r="C102" s="6" t="s">
        <v>48</v>
      </c>
      <c r="D102" s="6" t="n">
        <v>32</v>
      </c>
      <c r="E102" s="6" t="n">
        <v>19</v>
      </c>
      <c r="F102" s="8" t="n">
        <v>13</v>
      </c>
      <c r="G102" s="6" t="n">
        <v>0.75</v>
      </c>
      <c r="H102" s="6" t="n">
        <v>14</v>
      </c>
      <c r="I102" s="6" t="n">
        <v>10</v>
      </c>
      <c r="J102" s="7" t="n">
        <v>8</v>
      </c>
      <c r="K102" s="6" t="n">
        <v>14</v>
      </c>
      <c r="L102" s="7" t="s">
        <v>64</v>
      </c>
      <c r="M102" s="6" t="s">
        <v>21</v>
      </c>
      <c r="N102" s="6" t="n">
        <v>3</v>
      </c>
      <c r="O102" s="6" t="n">
        <v>0</v>
      </c>
      <c r="P102" s="6" t="n">
        <v>2.69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S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2" min="9" style="0" width="9"/>
    <col collapsed="false" customWidth="true" hidden="false" outlineLevel="0" max="14" min="13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9"/>
  </cols>
  <sheetData>
    <row r="1" customFormat="false" ht="30" hidden="false" customHeight="true" outlineLevel="0" collapsed="false">
      <c r="A1" s="9" t="s">
        <v>144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customFormat="false" ht="39.75" hidden="false" customHeight="true" outlineLevel="0" collapsed="false">
      <c r="A2" s="10" t="s">
        <v>1</v>
      </c>
      <c r="B2" s="10" t="s">
        <v>2</v>
      </c>
      <c r="C2" s="10" t="s">
        <v>3</v>
      </c>
      <c r="D2" s="10" t="s">
        <v>4</v>
      </c>
      <c r="E2" s="10" t="s">
        <v>145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146</v>
      </c>
      <c r="N2" s="10" t="s">
        <v>147</v>
      </c>
      <c r="O2" s="10" t="s">
        <v>148</v>
      </c>
      <c r="P2" s="10" t="s">
        <v>149</v>
      </c>
      <c r="Q2" s="10" t="s">
        <v>150</v>
      </c>
      <c r="R2" s="10" t="s">
        <v>151</v>
      </c>
      <c r="S2" s="10" t="s">
        <v>152</v>
      </c>
    </row>
    <row r="3" customFormat="false" ht="15" hidden="false" customHeight="false" outlineLevel="0" collapsed="false">
      <c r="A3" s="11" t="s">
        <v>17</v>
      </c>
      <c r="B3" s="11" t="s">
        <v>18</v>
      </c>
      <c r="C3" s="12" t="s">
        <v>19</v>
      </c>
      <c r="D3" s="12" t="n">
        <v>29</v>
      </c>
      <c r="E3" s="12" t="n">
        <v>26</v>
      </c>
      <c r="F3" s="12" t="n">
        <v>3</v>
      </c>
      <c r="G3" s="12" t="n">
        <v>0.719</v>
      </c>
      <c r="H3" s="12" t="n">
        <v>19</v>
      </c>
      <c r="I3" s="12" t="n">
        <v>8</v>
      </c>
      <c r="J3" s="7" t="n">
        <v>2</v>
      </c>
      <c r="K3" s="12" t="n">
        <v>4</v>
      </c>
      <c r="L3" s="13" t="s">
        <v>20</v>
      </c>
      <c r="M3" s="12" t="n">
        <v>-0.57</v>
      </c>
      <c r="N3" s="12" t="n">
        <v>-1.5</v>
      </c>
      <c r="O3" s="12" t="n">
        <v>0</v>
      </c>
      <c r="P3" s="12" t="n">
        <v>1.76</v>
      </c>
      <c r="Q3" s="12" t="n">
        <v>0.1</v>
      </c>
      <c r="R3" s="12" t="n">
        <v>0.6</v>
      </c>
      <c r="S3" s="12" t="n">
        <v>25</v>
      </c>
    </row>
    <row r="4" customFormat="false" ht="15" hidden="false" customHeight="false" outlineLevel="0" collapsed="false">
      <c r="A4" s="5" t="s">
        <v>22</v>
      </c>
      <c r="B4" s="5" t="s">
        <v>23</v>
      </c>
      <c r="C4" s="6" t="s">
        <v>24</v>
      </c>
      <c r="D4" s="6" t="n">
        <v>15</v>
      </c>
      <c r="E4" s="6" t="n">
        <v>12</v>
      </c>
      <c r="F4" s="6" t="n">
        <v>3</v>
      </c>
      <c r="G4" s="6" t="n">
        <v>0.644</v>
      </c>
      <c r="H4" s="6" t="n">
        <v>8</v>
      </c>
      <c r="I4" s="6" t="n">
        <v>13</v>
      </c>
      <c r="J4" s="13" t="n">
        <v>0</v>
      </c>
      <c r="K4" s="6" t="n">
        <v>4</v>
      </c>
      <c r="L4" s="13" t="s">
        <v>20</v>
      </c>
      <c r="M4" s="6" t="n">
        <v>3.92</v>
      </c>
      <c r="N4" s="6" t="n">
        <v>3</v>
      </c>
      <c r="O4" s="6" t="n">
        <v>0</v>
      </c>
      <c r="P4" s="6" t="n">
        <v>0.68</v>
      </c>
      <c r="Q4" s="6" t="n">
        <v>-1.7</v>
      </c>
      <c r="R4" s="6" t="n">
        <v>0.95</v>
      </c>
      <c r="S4" s="6" t="n">
        <v>8</v>
      </c>
    </row>
    <row r="5" customFormat="false" ht="15" hidden="false" customHeight="false" outlineLevel="0" collapsed="false">
      <c r="A5" s="11" t="s">
        <v>26</v>
      </c>
      <c r="B5" s="11" t="s">
        <v>23</v>
      </c>
      <c r="C5" s="12" t="s">
        <v>24</v>
      </c>
      <c r="D5" s="12" t="n">
        <v>22</v>
      </c>
      <c r="E5" s="12" t="n">
        <v>16</v>
      </c>
      <c r="F5" s="12" t="n">
        <v>6</v>
      </c>
      <c r="G5" s="12" t="n">
        <v>0.643</v>
      </c>
      <c r="H5" s="12" t="n">
        <v>10</v>
      </c>
      <c r="I5" s="12" t="n">
        <v>8</v>
      </c>
      <c r="J5" s="7" t="n">
        <v>4</v>
      </c>
      <c r="K5" s="12" t="n">
        <v>7</v>
      </c>
      <c r="L5" s="13" t="s">
        <v>20</v>
      </c>
      <c r="M5" s="12" t="n">
        <v>6.86</v>
      </c>
      <c r="N5" s="12" t="n">
        <v>1.5</v>
      </c>
      <c r="O5" s="12" t="n">
        <v>0.8</v>
      </c>
      <c r="P5" s="12" t="n">
        <v>0.99</v>
      </c>
      <c r="Q5" s="12" t="n">
        <v>-0.5</v>
      </c>
      <c r="R5" s="12" t="n">
        <v>0.95</v>
      </c>
      <c r="S5" s="12" t="n">
        <v>15</v>
      </c>
    </row>
    <row r="6" customFormat="false" ht="15" hidden="false" customHeight="false" outlineLevel="0" collapsed="false">
      <c r="A6" s="5" t="s">
        <v>28</v>
      </c>
      <c r="B6" s="5" t="s">
        <v>29</v>
      </c>
      <c r="C6" s="6" t="s">
        <v>30</v>
      </c>
      <c r="D6" s="6" t="n">
        <v>13</v>
      </c>
      <c r="E6" s="6" t="n">
        <v>13</v>
      </c>
      <c r="F6" s="6" t="n">
        <v>0</v>
      </c>
      <c r="G6" s="6" t="n">
        <v>0.695</v>
      </c>
      <c r="H6" s="6" t="n">
        <v>9</v>
      </c>
      <c r="I6" s="6" t="n">
        <v>15</v>
      </c>
      <c r="J6" s="13" t="n">
        <v>0</v>
      </c>
      <c r="K6" s="6" t="n">
        <v>1</v>
      </c>
      <c r="L6" s="13" t="s">
        <v>20</v>
      </c>
      <c r="M6" s="6" t="n">
        <v>0.46</v>
      </c>
      <c r="N6" s="6" t="n">
        <v>-1.5</v>
      </c>
      <c r="O6" s="6" t="n">
        <v>0</v>
      </c>
      <c r="P6" s="6" t="n">
        <v>0.79</v>
      </c>
      <c r="Q6" s="6" t="n">
        <v>-1</v>
      </c>
      <c r="R6" s="6" t="n">
        <v>0.92</v>
      </c>
      <c r="S6" s="6" t="n">
        <v>7</v>
      </c>
    </row>
    <row r="7" customFormat="false" ht="15" hidden="false" customHeight="false" outlineLevel="0" collapsed="false">
      <c r="A7" s="11" t="s">
        <v>31</v>
      </c>
      <c r="B7" s="11" t="s">
        <v>32</v>
      </c>
      <c r="C7" s="12" t="s">
        <v>33</v>
      </c>
      <c r="D7" s="12" t="n">
        <v>11</v>
      </c>
      <c r="E7" s="12" t="n">
        <v>8</v>
      </c>
      <c r="F7" s="12" t="n">
        <v>3</v>
      </c>
      <c r="G7" s="12" t="n">
        <v>0.745</v>
      </c>
      <c r="H7" s="12" t="n">
        <v>6</v>
      </c>
      <c r="I7" s="12" t="n">
        <v>10</v>
      </c>
      <c r="J7" s="13" t="n">
        <v>0</v>
      </c>
      <c r="K7" s="12" t="n">
        <v>4</v>
      </c>
      <c r="L7" s="13" t="s">
        <v>20</v>
      </c>
      <c r="M7" s="12" t="n">
        <v>0.79</v>
      </c>
      <c r="N7" s="12" t="n">
        <v>-1.5</v>
      </c>
      <c r="O7" s="12" t="n">
        <v>0</v>
      </c>
      <c r="P7" s="12" t="n">
        <v>1.28</v>
      </c>
      <c r="Q7" s="12" t="n">
        <v>0.1</v>
      </c>
      <c r="R7" s="12" t="n">
        <v>0.9</v>
      </c>
      <c r="S7" s="12" t="n">
        <v>15</v>
      </c>
    </row>
    <row r="8" customFormat="false" ht="15" hidden="false" customHeight="false" outlineLevel="0" collapsed="false">
      <c r="A8" s="5" t="s">
        <v>34</v>
      </c>
      <c r="B8" s="5" t="s">
        <v>23</v>
      </c>
      <c r="C8" s="6" t="s">
        <v>24</v>
      </c>
      <c r="D8" s="6" t="n">
        <v>17</v>
      </c>
      <c r="E8" s="6" t="n">
        <v>9</v>
      </c>
      <c r="F8" s="6" t="n">
        <v>8</v>
      </c>
      <c r="G8" s="6" t="n">
        <v>0.748</v>
      </c>
      <c r="H8" s="6" t="n">
        <v>7</v>
      </c>
      <c r="I8" s="6" t="n">
        <v>17</v>
      </c>
      <c r="J8" s="13" t="n">
        <v>0</v>
      </c>
      <c r="K8" s="6" t="n">
        <v>9</v>
      </c>
      <c r="L8" s="13" t="s">
        <v>20</v>
      </c>
      <c r="M8" s="6" t="n">
        <v>-0.19</v>
      </c>
      <c r="N8" s="6" t="n">
        <v>3</v>
      </c>
      <c r="O8" s="6" t="n">
        <v>0</v>
      </c>
      <c r="P8" s="6" t="n">
        <v>1.89</v>
      </c>
      <c r="Q8" s="6" t="n">
        <v>-0.2</v>
      </c>
      <c r="R8" s="6" t="n">
        <v>0.952</v>
      </c>
      <c r="S8" s="6" t="n">
        <v>27</v>
      </c>
    </row>
    <row r="9" customFormat="false" ht="15" hidden="false" customHeight="false" outlineLevel="0" collapsed="false">
      <c r="A9" s="11" t="s">
        <v>35</v>
      </c>
      <c r="B9" s="11" t="s">
        <v>32</v>
      </c>
      <c r="C9" s="12" t="s">
        <v>33</v>
      </c>
      <c r="D9" s="12" t="n">
        <v>12</v>
      </c>
      <c r="E9" s="12" t="n">
        <v>12</v>
      </c>
      <c r="F9" s="12" t="n">
        <v>0</v>
      </c>
      <c r="G9" s="12" t="n">
        <v>0.647</v>
      </c>
      <c r="H9" s="12" t="n">
        <v>8</v>
      </c>
      <c r="I9" s="12" t="n">
        <v>13</v>
      </c>
      <c r="J9" s="13" t="n">
        <v>0</v>
      </c>
      <c r="K9" s="12" t="n">
        <v>0</v>
      </c>
      <c r="L9" s="13" t="s">
        <v>20</v>
      </c>
      <c r="M9" s="12" t="n">
        <v>2.18</v>
      </c>
      <c r="N9" s="12" t="n">
        <v>0</v>
      </c>
      <c r="O9" s="12" t="n">
        <v>0</v>
      </c>
      <c r="P9" s="12" t="n">
        <v>2.22</v>
      </c>
      <c r="Q9" s="12" t="n">
        <v>-1.3</v>
      </c>
      <c r="R9" s="12" t="n">
        <v>0.902</v>
      </c>
      <c r="S9" s="12" t="n">
        <v>35</v>
      </c>
    </row>
    <row r="10" customFormat="false" ht="15" hidden="false" customHeight="false" outlineLevel="0" collapsed="false">
      <c r="A10" s="5" t="s">
        <v>37</v>
      </c>
      <c r="B10" s="5" t="s">
        <v>38</v>
      </c>
      <c r="C10" s="6" t="s">
        <v>39</v>
      </c>
      <c r="D10" s="6" t="n">
        <v>24</v>
      </c>
      <c r="E10" s="6" t="n">
        <v>26</v>
      </c>
      <c r="F10" s="6" t="n">
        <v>2</v>
      </c>
      <c r="G10" s="6" t="n">
        <v>0.763</v>
      </c>
      <c r="H10" s="6" t="n">
        <v>20</v>
      </c>
      <c r="I10" s="6" t="n">
        <v>12</v>
      </c>
      <c r="J10" s="13" t="n">
        <v>0</v>
      </c>
      <c r="K10" s="6" t="n">
        <v>2</v>
      </c>
      <c r="L10" s="13" t="s">
        <v>20</v>
      </c>
      <c r="M10" s="6" t="n">
        <v>0.25</v>
      </c>
      <c r="N10" s="6" t="n">
        <v>-1.5</v>
      </c>
      <c r="O10" s="6" t="n">
        <v>0</v>
      </c>
      <c r="P10" s="6" t="n">
        <v>1.54</v>
      </c>
      <c r="Q10" s="6" t="n">
        <v>1.5</v>
      </c>
      <c r="R10" s="6" t="n">
        <v>0.85</v>
      </c>
      <c r="S10" s="6" t="n">
        <v>25</v>
      </c>
    </row>
    <row r="11" customFormat="false" ht="15" hidden="false" customHeight="false" outlineLevel="0" collapsed="false">
      <c r="A11" s="11" t="s">
        <v>40</v>
      </c>
      <c r="B11" s="11" t="s">
        <v>29</v>
      </c>
      <c r="C11" s="12" t="s">
        <v>30</v>
      </c>
      <c r="D11" s="12" t="n">
        <v>17</v>
      </c>
      <c r="E11" s="12" t="n">
        <v>16</v>
      </c>
      <c r="F11" s="12" t="n">
        <v>1</v>
      </c>
      <c r="G11" s="12" t="n">
        <v>0.771</v>
      </c>
      <c r="H11" s="12" t="n">
        <v>12</v>
      </c>
      <c r="I11" s="12" t="n">
        <v>6</v>
      </c>
      <c r="J11" s="13" t="n">
        <v>0</v>
      </c>
      <c r="K11" s="12" t="n">
        <v>0</v>
      </c>
      <c r="L11" s="13" t="s">
        <v>20</v>
      </c>
      <c r="M11" s="12" t="n">
        <v>1.86</v>
      </c>
      <c r="N11" s="12" t="n">
        <v>1.5</v>
      </c>
      <c r="O11" s="12" t="n">
        <v>0</v>
      </c>
      <c r="P11" s="12" t="n">
        <v>0.75</v>
      </c>
      <c r="Q11" s="12" t="n">
        <v>0.2</v>
      </c>
      <c r="R11" s="12" t="n">
        <v>0.919</v>
      </c>
      <c r="S11" s="12" t="n">
        <v>10</v>
      </c>
    </row>
    <row r="12" customFormat="false" ht="15" hidden="false" customHeight="false" outlineLevel="0" collapsed="false">
      <c r="A12" s="5" t="s">
        <v>41</v>
      </c>
      <c r="B12" s="5" t="s">
        <v>42</v>
      </c>
      <c r="C12" s="6" t="s">
        <v>43</v>
      </c>
      <c r="D12" s="6" t="n">
        <v>33</v>
      </c>
      <c r="E12" s="6" t="n">
        <v>28</v>
      </c>
      <c r="F12" s="6" t="n">
        <v>5</v>
      </c>
      <c r="G12" s="6" t="n">
        <v>0.688</v>
      </c>
      <c r="H12" s="6" t="n">
        <v>19</v>
      </c>
      <c r="I12" s="6" t="n">
        <v>10</v>
      </c>
      <c r="J12" s="7" t="n">
        <v>4</v>
      </c>
      <c r="K12" s="6" t="n">
        <v>4</v>
      </c>
      <c r="L12" s="13" t="s">
        <v>20</v>
      </c>
      <c r="M12" s="6" t="n">
        <v>0.58</v>
      </c>
      <c r="N12" s="6" t="n">
        <v>0</v>
      </c>
      <c r="O12" s="6" t="n">
        <v>0</v>
      </c>
      <c r="P12" s="6" t="n">
        <v>2.46</v>
      </c>
      <c r="Q12" s="6" t="n">
        <v>-0.3</v>
      </c>
      <c r="R12" s="6" t="n">
        <v>0.65</v>
      </c>
      <c r="S12" s="6" t="n">
        <v>38</v>
      </c>
    </row>
    <row r="13" customFormat="false" ht="15" hidden="false" customHeight="false" outlineLevel="0" collapsed="false">
      <c r="A13" s="11" t="s">
        <v>45</v>
      </c>
      <c r="B13" s="11" t="s">
        <v>23</v>
      </c>
      <c r="C13" s="12" t="s">
        <v>24</v>
      </c>
      <c r="D13" s="12" t="n">
        <v>12</v>
      </c>
      <c r="E13" s="12" t="n">
        <v>13</v>
      </c>
      <c r="F13" s="12" t="n">
        <v>1</v>
      </c>
      <c r="G13" s="12" t="n">
        <v>0.72</v>
      </c>
      <c r="H13" s="12" t="n">
        <v>9</v>
      </c>
      <c r="I13" s="12" t="n">
        <v>4</v>
      </c>
      <c r="J13" s="13" t="n">
        <v>0</v>
      </c>
      <c r="K13" s="12" t="n">
        <v>0</v>
      </c>
      <c r="L13" s="13" t="s">
        <v>20</v>
      </c>
      <c r="M13" s="12" t="n">
        <v>1.64</v>
      </c>
      <c r="N13" s="12" t="n">
        <v>-1.5</v>
      </c>
      <c r="O13" s="12" t="n">
        <v>0</v>
      </c>
      <c r="P13" s="12" t="n">
        <v>1.05</v>
      </c>
      <c r="Q13" s="12" t="n">
        <v>0.6</v>
      </c>
      <c r="R13" s="12" t="n">
        <v>0.946</v>
      </c>
      <c r="S13" s="12" t="n">
        <v>13</v>
      </c>
    </row>
    <row r="14" customFormat="false" ht="15" hidden="false" customHeight="false" outlineLevel="0" collapsed="false">
      <c r="A14" s="5" t="s">
        <v>46</v>
      </c>
      <c r="B14" s="5" t="s">
        <v>47</v>
      </c>
      <c r="C14" s="6" t="s">
        <v>48</v>
      </c>
      <c r="D14" s="6" t="n">
        <v>27</v>
      </c>
      <c r="E14" s="6" t="n">
        <v>22</v>
      </c>
      <c r="F14" s="6" t="n">
        <v>5</v>
      </c>
      <c r="G14" s="6" t="n">
        <v>0.609</v>
      </c>
      <c r="H14" s="6" t="n">
        <v>13</v>
      </c>
      <c r="I14" s="6" t="n">
        <v>12</v>
      </c>
      <c r="J14" s="7" t="n">
        <v>2</v>
      </c>
      <c r="K14" s="6" t="n">
        <v>4</v>
      </c>
      <c r="L14" s="13" t="s">
        <v>20</v>
      </c>
      <c r="M14" s="6" t="n">
        <v>0.03</v>
      </c>
      <c r="N14" s="6" t="n">
        <v>3</v>
      </c>
      <c r="O14" s="6" t="n">
        <v>0</v>
      </c>
      <c r="P14" s="6" t="n">
        <v>1.26</v>
      </c>
      <c r="Q14" s="6" t="n">
        <v>1.5</v>
      </c>
      <c r="R14" s="6" t="n">
        <v>0.78</v>
      </c>
      <c r="S14" s="6" t="n">
        <v>16</v>
      </c>
    </row>
    <row r="15" customFormat="false" ht="15" hidden="false" customHeight="false" outlineLevel="0" collapsed="false">
      <c r="A15" s="11" t="s">
        <v>49</v>
      </c>
      <c r="B15" s="11" t="s">
        <v>18</v>
      </c>
      <c r="C15" s="12" t="s">
        <v>19</v>
      </c>
      <c r="D15" s="12" t="n">
        <v>35</v>
      </c>
      <c r="E15" s="12" t="n">
        <v>31</v>
      </c>
      <c r="F15" s="12" t="n">
        <v>4</v>
      </c>
      <c r="G15" s="12" t="n">
        <v>0.8</v>
      </c>
      <c r="H15" s="12" t="n">
        <v>25</v>
      </c>
      <c r="I15" s="12" t="n">
        <v>6</v>
      </c>
      <c r="J15" s="7" t="n">
        <v>4</v>
      </c>
      <c r="K15" s="12" t="n">
        <v>4</v>
      </c>
      <c r="L15" s="13" t="s">
        <v>20</v>
      </c>
      <c r="M15" s="12" t="n">
        <v>1.48</v>
      </c>
      <c r="N15" s="12" t="n">
        <v>1.5</v>
      </c>
      <c r="O15" s="12" t="n">
        <v>0</v>
      </c>
      <c r="P15" s="12" t="n">
        <v>1.1</v>
      </c>
      <c r="Q15" s="12" t="n">
        <v>2.6</v>
      </c>
      <c r="R15" s="12" t="n">
        <v>0.601</v>
      </c>
      <c r="S15" s="12" t="n">
        <v>11</v>
      </c>
    </row>
    <row r="16" customFormat="false" ht="15" hidden="false" customHeight="false" outlineLevel="0" collapsed="false">
      <c r="A16" s="5" t="s">
        <v>50</v>
      </c>
      <c r="B16" s="5" t="s">
        <v>51</v>
      </c>
      <c r="C16" s="6" t="s">
        <v>52</v>
      </c>
      <c r="D16" s="6" t="n">
        <v>23</v>
      </c>
      <c r="E16" s="6" t="n">
        <v>19</v>
      </c>
      <c r="F16" s="6" t="n">
        <v>4</v>
      </c>
      <c r="G16" s="6" t="n">
        <v>0.611</v>
      </c>
      <c r="H16" s="6" t="n">
        <v>12</v>
      </c>
      <c r="I16" s="6" t="n">
        <v>9</v>
      </c>
      <c r="J16" s="7" t="n">
        <v>2</v>
      </c>
      <c r="K16" s="6" t="n">
        <v>4</v>
      </c>
      <c r="L16" s="13" t="s">
        <v>20</v>
      </c>
      <c r="M16" s="6" t="n">
        <v>3.1</v>
      </c>
      <c r="N16" s="6" t="n">
        <v>-3</v>
      </c>
      <c r="O16" s="6" t="n">
        <v>0</v>
      </c>
      <c r="P16" s="6" t="n">
        <v>2.44</v>
      </c>
      <c r="Q16" s="6" t="n">
        <v>-0.1</v>
      </c>
      <c r="R16" s="6" t="n">
        <v>0.7</v>
      </c>
      <c r="S16" s="6" t="n">
        <v>36</v>
      </c>
    </row>
    <row r="17" customFormat="false" ht="15" hidden="false" customHeight="false" outlineLevel="0" collapsed="false">
      <c r="A17" s="11" t="s">
        <v>53</v>
      </c>
      <c r="B17" s="11" t="s">
        <v>42</v>
      </c>
      <c r="C17" s="12" t="s">
        <v>43</v>
      </c>
      <c r="D17" s="12" t="n">
        <v>33</v>
      </c>
      <c r="E17" s="12" t="n">
        <v>33</v>
      </c>
      <c r="F17" s="12" t="n">
        <v>0</v>
      </c>
      <c r="G17" s="12" t="n">
        <v>0.691</v>
      </c>
      <c r="H17" s="12" t="n">
        <v>23</v>
      </c>
      <c r="I17" s="12" t="n">
        <v>7</v>
      </c>
      <c r="J17" s="7" t="n">
        <v>3</v>
      </c>
      <c r="K17" s="12" t="n">
        <v>1</v>
      </c>
      <c r="L17" s="13" t="s">
        <v>20</v>
      </c>
      <c r="M17" s="12" t="n">
        <v>-0.21</v>
      </c>
      <c r="N17" s="12" t="n">
        <v>-1.5</v>
      </c>
      <c r="O17" s="12" t="n">
        <v>0</v>
      </c>
      <c r="P17" s="12" t="n">
        <v>2.48</v>
      </c>
      <c r="Q17" s="12" t="n">
        <v>-0.4</v>
      </c>
      <c r="R17" s="12" t="n">
        <v>0.649</v>
      </c>
      <c r="S17" s="12" t="n">
        <v>37</v>
      </c>
    </row>
    <row r="18" customFormat="false" ht="15" hidden="false" customHeight="false" outlineLevel="0" collapsed="false">
      <c r="A18" s="5" t="s">
        <v>54</v>
      </c>
      <c r="B18" s="5" t="s">
        <v>55</v>
      </c>
      <c r="C18" s="6" t="s">
        <v>56</v>
      </c>
      <c r="D18" s="6" t="n">
        <v>25</v>
      </c>
      <c r="E18" s="6" t="n">
        <v>24</v>
      </c>
      <c r="F18" s="6" t="n">
        <v>1</v>
      </c>
      <c r="G18" s="6" t="n">
        <v>0.757</v>
      </c>
      <c r="H18" s="6" t="n">
        <v>18</v>
      </c>
      <c r="I18" s="6" t="n">
        <v>8</v>
      </c>
      <c r="J18" s="13" t="n">
        <v>0</v>
      </c>
      <c r="K18" s="6" t="n">
        <v>2</v>
      </c>
      <c r="L18" s="13" t="s">
        <v>20</v>
      </c>
      <c r="M18" s="6" t="n">
        <v>1.83</v>
      </c>
      <c r="N18" s="6" t="n">
        <v>-1.5</v>
      </c>
      <c r="O18" s="6" t="n">
        <v>0</v>
      </c>
      <c r="P18" s="6" t="n">
        <v>0.84</v>
      </c>
      <c r="Q18" s="6" t="n">
        <v>-0.4</v>
      </c>
      <c r="R18" s="6" t="n">
        <v>0.88</v>
      </c>
      <c r="S18" s="6" t="n">
        <v>8</v>
      </c>
    </row>
    <row r="19" customFormat="false" ht="15" hidden="false" customHeight="false" outlineLevel="0" collapsed="false">
      <c r="A19" s="11" t="s">
        <v>57</v>
      </c>
      <c r="B19" s="11" t="s">
        <v>42</v>
      </c>
      <c r="C19" s="12" t="s">
        <v>43</v>
      </c>
      <c r="D19" s="12" t="n">
        <v>33</v>
      </c>
      <c r="E19" s="12" t="n">
        <v>27</v>
      </c>
      <c r="F19" s="12" t="n">
        <v>6</v>
      </c>
      <c r="G19" s="12" t="n">
        <v>0.772</v>
      </c>
      <c r="H19" s="12" t="n">
        <v>21</v>
      </c>
      <c r="I19" s="12" t="n">
        <v>4</v>
      </c>
      <c r="J19" s="7" t="n">
        <v>8</v>
      </c>
      <c r="K19" s="12" t="n">
        <v>5</v>
      </c>
      <c r="L19" s="13" t="s">
        <v>20</v>
      </c>
      <c r="M19" s="12" t="n">
        <v>2.37</v>
      </c>
      <c r="N19" s="12" t="n">
        <v>-3</v>
      </c>
      <c r="O19" s="12" t="n">
        <v>0</v>
      </c>
      <c r="P19" s="12" t="n">
        <v>2.03</v>
      </c>
      <c r="Q19" s="12" t="n">
        <v>0.6</v>
      </c>
      <c r="R19" s="12" t="n">
        <v>0.643</v>
      </c>
      <c r="S19" s="12" t="n">
        <v>31</v>
      </c>
    </row>
    <row r="20" customFormat="false" ht="15" hidden="false" customHeight="false" outlineLevel="0" collapsed="false">
      <c r="A20" s="5" t="s">
        <v>58</v>
      </c>
      <c r="B20" s="5" t="s">
        <v>55</v>
      </c>
      <c r="C20" s="6" t="s">
        <v>56</v>
      </c>
      <c r="D20" s="6" t="n">
        <v>28</v>
      </c>
      <c r="E20" s="6" t="n">
        <v>29</v>
      </c>
      <c r="F20" s="6" t="n">
        <v>1</v>
      </c>
      <c r="G20" s="6" t="n">
        <v>0.787</v>
      </c>
      <c r="H20" s="6" t="n">
        <v>23</v>
      </c>
      <c r="I20" s="6" t="n">
        <v>10</v>
      </c>
      <c r="J20" s="13" t="n">
        <v>0</v>
      </c>
      <c r="K20" s="6" t="n">
        <v>1</v>
      </c>
      <c r="L20" s="13" t="s">
        <v>20</v>
      </c>
      <c r="M20" s="6" t="n">
        <v>2.82</v>
      </c>
      <c r="N20" s="6" t="n">
        <v>-3</v>
      </c>
      <c r="O20" s="6" t="n">
        <v>0</v>
      </c>
      <c r="P20" s="6" t="n">
        <v>0.8</v>
      </c>
      <c r="Q20" s="6" t="n">
        <v>2.3</v>
      </c>
      <c r="R20" s="6" t="n">
        <v>0.879</v>
      </c>
      <c r="S20" s="6" t="n">
        <v>12</v>
      </c>
    </row>
    <row r="21" customFormat="false" ht="15" hidden="false" customHeight="false" outlineLevel="0" collapsed="false">
      <c r="A21" s="11" t="s">
        <v>59</v>
      </c>
      <c r="B21" s="11" t="s">
        <v>38</v>
      </c>
      <c r="C21" s="12" t="s">
        <v>39</v>
      </c>
      <c r="D21" s="12" t="n">
        <v>30</v>
      </c>
      <c r="E21" s="12" t="n">
        <v>26</v>
      </c>
      <c r="F21" s="12" t="n">
        <v>4</v>
      </c>
      <c r="G21" s="12" t="n">
        <v>0.688</v>
      </c>
      <c r="H21" s="12" t="n">
        <v>18</v>
      </c>
      <c r="I21" s="12" t="n">
        <v>7</v>
      </c>
      <c r="J21" s="7" t="n">
        <v>5</v>
      </c>
      <c r="K21" s="12" t="n">
        <v>3</v>
      </c>
      <c r="L21" s="13" t="s">
        <v>20</v>
      </c>
      <c r="M21" s="12" t="n">
        <v>2.93</v>
      </c>
      <c r="N21" s="12" t="n">
        <v>3</v>
      </c>
      <c r="O21" s="12" t="n">
        <v>0</v>
      </c>
      <c r="P21" s="12" t="n">
        <v>0.61</v>
      </c>
      <c r="Q21" s="12" t="n">
        <v>2.1</v>
      </c>
      <c r="R21" s="12" t="n">
        <v>0.848</v>
      </c>
      <c r="S21" s="12" t="n">
        <v>6</v>
      </c>
    </row>
    <row r="22" customFormat="false" ht="15" hidden="false" customHeight="false" outlineLevel="0" collapsed="false">
      <c r="A22" s="5" t="s">
        <v>60</v>
      </c>
      <c r="B22" s="5" t="s">
        <v>51</v>
      </c>
      <c r="C22" s="6" t="s">
        <v>52</v>
      </c>
      <c r="D22" s="6" t="n">
        <v>26</v>
      </c>
      <c r="E22" s="6" t="n">
        <v>18</v>
      </c>
      <c r="F22" s="6" t="n">
        <v>8</v>
      </c>
      <c r="G22" s="6" t="n">
        <v>0.713</v>
      </c>
      <c r="H22" s="6" t="n">
        <v>13</v>
      </c>
      <c r="I22" s="6" t="n">
        <v>7</v>
      </c>
      <c r="J22" s="7" t="n">
        <v>6</v>
      </c>
      <c r="K22" s="6" t="n">
        <v>9</v>
      </c>
      <c r="L22" s="13" t="s">
        <v>20</v>
      </c>
      <c r="M22" s="6" t="n">
        <v>1.12</v>
      </c>
      <c r="N22" s="6" t="n">
        <v>3</v>
      </c>
      <c r="O22" s="6" t="n">
        <v>0</v>
      </c>
      <c r="P22" s="6" t="n">
        <v>1.92</v>
      </c>
      <c r="Q22" s="6" t="n">
        <v>-0.3</v>
      </c>
      <c r="R22" s="6" t="n">
        <v>0.697</v>
      </c>
      <c r="S22" s="6" t="n">
        <v>28</v>
      </c>
    </row>
    <row r="23" customFormat="false" ht="15" hidden="false" customHeight="false" outlineLevel="0" collapsed="false">
      <c r="A23" s="11" t="s">
        <v>61</v>
      </c>
      <c r="B23" s="11" t="s">
        <v>42</v>
      </c>
      <c r="C23" s="12" t="s">
        <v>43</v>
      </c>
      <c r="D23" s="12" t="n">
        <v>34</v>
      </c>
      <c r="E23" s="12" t="n">
        <v>33</v>
      </c>
      <c r="F23" s="12" t="n">
        <v>1</v>
      </c>
      <c r="G23" s="12" t="n">
        <v>0.613</v>
      </c>
      <c r="H23" s="12" t="n">
        <v>20</v>
      </c>
      <c r="I23" s="12" t="n">
        <v>6</v>
      </c>
      <c r="J23" s="7" t="n">
        <v>8</v>
      </c>
      <c r="K23" s="12" t="n">
        <v>1</v>
      </c>
      <c r="L23" s="13" t="s">
        <v>20</v>
      </c>
      <c r="M23" s="12" t="n">
        <v>2.34</v>
      </c>
      <c r="N23" s="12" t="n">
        <v>-3</v>
      </c>
      <c r="O23" s="12" t="n">
        <v>0</v>
      </c>
      <c r="P23" s="12" t="n">
        <v>2.4</v>
      </c>
      <c r="Q23" s="12" t="n">
        <v>2.3</v>
      </c>
      <c r="R23" s="12" t="n">
        <v>0.645</v>
      </c>
      <c r="S23" s="12" t="n">
        <v>36</v>
      </c>
    </row>
    <row r="24" customFormat="false" ht="15" hidden="false" customHeight="false" outlineLevel="0" collapsed="false">
      <c r="A24" s="5" t="s">
        <v>62</v>
      </c>
      <c r="B24" s="5" t="s">
        <v>38</v>
      </c>
      <c r="C24" s="6" t="s">
        <v>39</v>
      </c>
      <c r="D24" s="6" t="n">
        <v>26</v>
      </c>
      <c r="E24" s="6" t="n">
        <v>24</v>
      </c>
      <c r="F24" s="6" t="n">
        <v>2</v>
      </c>
      <c r="G24" s="6" t="n">
        <v>0.625</v>
      </c>
      <c r="H24" s="6" t="n">
        <v>15</v>
      </c>
      <c r="I24" s="6" t="n">
        <v>17</v>
      </c>
      <c r="J24" s="13" t="n">
        <v>0</v>
      </c>
      <c r="K24" s="6" t="n">
        <v>2</v>
      </c>
      <c r="L24" s="13" t="s">
        <v>20</v>
      </c>
      <c r="M24" s="6" t="n">
        <v>1.29</v>
      </c>
      <c r="N24" s="6" t="n">
        <v>0</v>
      </c>
      <c r="O24" s="6" t="n">
        <v>0</v>
      </c>
      <c r="P24" s="6" t="n">
        <v>2.81</v>
      </c>
      <c r="Q24" s="6" t="n">
        <v>0.2</v>
      </c>
      <c r="R24" s="6" t="n">
        <v>0.85</v>
      </c>
      <c r="S24" s="6" t="n">
        <v>39</v>
      </c>
    </row>
    <row r="25" customFormat="false" ht="15" hidden="false" customHeight="false" outlineLevel="0" collapsed="false">
      <c r="A25" s="11" t="s">
        <v>63</v>
      </c>
      <c r="B25" s="11" t="s">
        <v>23</v>
      </c>
      <c r="C25" s="12" t="s">
        <v>24</v>
      </c>
      <c r="D25" s="12" t="n">
        <v>23</v>
      </c>
      <c r="E25" s="12" t="n">
        <v>15</v>
      </c>
      <c r="F25" s="12" t="n">
        <v>8</v>
      </c>
      <c r="G25" s="12" t="n">
        <v>0.677</v>
      </c>
      <c r="H25" s="12" t="n">
        <v>10</v>
      </c>
      <c r="I25" s="12" t="n">
        <v>4</v>
      </c>
      <c r="J25" s="7" t="n">
        <v>9</v>
      </c>
      <c r="K25" s="12" t="n">
        <v>8</v>
      </c>
      <c r="L25" s="13" t="s">
        <v>20</v>
      </c>
      <c r="M25" s="12" t="n">
        <v>3.5</v>
      </c>
      <c r="N25" s="12" t="n">
        <v>3</v>
      </c>
      <c r="O25" s="12" t="n">
        <v>0</v>
      </c>
      <c r="P25" s="12" t="n">
        <v>0.45</v>
      </c>
      <c r="Q25" s="12" t="n">
        <v>2.3</v>
      </c>
      <c r="R25" s="12" t="n">
        <v>0.945</v>
      </c>
      <c r="S25" s="12" t="n">
        <v>6</v>
      </c>
    </row>
    <row r="26" customFormat="false" ht="15" hidden="false" customHeight="false" outlineLevel="0" collapsed="false">
      <c r="A26" s="5" t="s">
        <v>65</v>
      </c>
      <c r="B26" s="5" t="s">
        <v>38</v>
      </c>
      <c r="C26" s="6" t="s">
        <v>39</v>
      </c>
      <c r="D26" s="6" t="n">
        <v>17</v>
      </c>
      <c r="E26" s="6" t="n">
        <v>23</v>
      </c>
      <c r="F26" s="6" t="n">
        <v>6</v>
      </c>
      <c r="G26" s="6" t="n">
        <v>0.795</v>
      </c>
      <c r="H26" s="6" t="n">
        <v>18</v>
      </c>
      <c r="I26" s="6" t="n">
        <v>11</v>
      </c>
      <c r="J26" s="13" t="n">
        <v>0</v>
      </c>
      <c r="K26" s="6" t="n">
        <v>5</v>
      </c>
      <c r="L26" s="13" t="s">
        <v>20</v>
      </c>
      <c r="M26" s="6" t="n">
        <v>-0.39</v>
      </c>
      <c r="N26" s="6" t="n">
        <v>-3</v>
      </c>
      <c r="O26" s="6" t="n">
        <v>0</v>
      </c>
      <c r="P26" s="6" t="n">
        <v>2.25</v>
      </c>
      <c r="Q26" s="6" t="n">
        <v>-0.9</v>
      </c>
      <c r="R26" s="6" t="n">
        <v>0.847</v>
      </c>
      <c r="S26" s="6" t="n">
        <v>30</v>
      </c>
    </row>
    <row r="27" customFormat="false" ht="15" hidden="false" customHeight="false" outlineLevel="0" collapsed="false">
      <c r="A27" s="11" t="s">
        <v>66</v>
      </c>
      <c r="B27" s="11" t="s">
        <v>51</v>
      </c>
      <c r="C27" s="12" t="s">
        <v>52</v>
      </c>
      <c r="D27" s="12" t="n">
        <v>22</v>
      </c>
      <c r="E27" s="12" t="n">
        <v>17</v>
      </c>
      <c r="F27" s="12" t="n">
        <v>5</v>
      </c>
      <c r="G27" s="12" t="n">
        <v>0.615</v>
      </c>
      <c r="H27" s="12" t="n">
        <v>10</v>
      </c>
      <c r="I27" s="12" t="n">
        <v>12</v>
      </c>
      <c r="J27" s="13" t="n">
        <v>0</v>
      </c>
      <c r="K27" s="12" t="n">
        <v>6</v>
      </c>
      <c r="L27" s="13" t="s">
        <v>20</v>
      </c>
      <c r="M27" s="12" t="n">
        <v>0.02</v>
      </c>
      <c r="N27" s="12" t="n">
        <v>3</v>
      </c>
      <c r="O27" s="12" t="n">
        <v>0</v>
      </c>
      <c r="P27" s="12" t="n">
        <v>0.93</v>
      </c>
      <c r="Q27" s="12" t="n">
        <v>1.2</v>
      </c>
      <c r="R27" s="12" t="n">
        <v>0.695</v>
      </c>
      <c r="S27" s="12" t="n">
        <v>14</v>
      </c>
    </row>
    <row r="28" customFormat="false" ht="15" hidden="false" customHeight="false" outlineLevel="0" collapsed="false">
      <c r="A28" s="5" t="s">
        <v>67</v>
      </c>
      <c r="B28" s="5" t="s">
        <v>38</v>
      </c>
      <c r="C28" s="6" t="s">
        <v>39</v>
      </c>
      <c r="D28" s="6" t="n">
        <v>33</v>
      </c>
      <c r="E28" s="6" t="n">
        <v>30</v>
      </c>
      <c r="F28" s="6" t="n">
        <v>3</v>
      </c>
      <c r="G28" s="6" t="n">
        <v>0.62</v>
      </c>
      <c r="H28" s="6" t="n">
        <v>19</v>
      </c>
      <c r="I28" s="6" t="n">
        <v>9</v>
      </c>
      <c r="J28" s="7" t="n">
        <v>5</v>
      </c>
      <c r="K28" s="6" t="n">
        <v>2</v>
      </c>
      <c r="L28" s="13" t="s">
        <v>20</v>
      </c>
      <c r="M28" s="6" t="n">
        <v>7.81</v>
      </c>
      <c r="N28" s="6" t="n">
        <v>-1.5</v>
      </c>
      <c r="O28" s="6" t="n">
        <v>0.8</v>
      </c>
      <c r="P28" s="6" t="n">
        <v>1.18</v>
      </c>
      <c r="Q28" s="6" t="n">
        <v>2.6</v>
      </c>
      <c r="R28" s="6" t="n">
        <v>0.846</v>
      </c>
      <c r="S28" s="6" t="n">
        <v>16</v>
      </c>
    </row>
    <row r="29" customFormat="false" ht="15" hidden="false" customHeight="false" outlineLevel="0" collapsed="false">
      <c r="A29" s="11" t="s">
        <v>68</v>
      </c>
      <c r="B29" s="11" t="s">
        <v>47</v>
      </c>
      <c r="C29" s="12" t="s">
        <v>48</v>
      </c>
      <c r="D29" s="12" t="n">
        <v>19</v>
      </c>
      <c r="E29" s="12" t="n">
        <v>20</v>
      </c>
      <c r="F29" s="12" t="n">
        <v>1</v>
      </c>
      <c r="G29" s="12" t="n">
        <v>0.726</v>
      </c>
      <c r="H29" s="12" t="n">
        <v>15</v>
      </c>
      <c r="I29" s="12" t="n">
        <v>6</v>
      </c>
      <c r="J29" s="13" t="n">
        <v>0</v>
      </c>
      <c r="K29" s="12" t="n">
        <v>0</v>
      </c>
      <c r="L29" s="13" t="s">
        <v>20</v>
      </c>
      <c r="M29" s="12" t="n">
        <v>1.42</v>
      </c>
      <c r="N29" s="12" t="n">
        <v>-3</v>
      </c>
      <c r="O29" s="12" t="n">
        <v>0</v>
      </c>
      <c r="P29" s="12" t="n">
        <v>0.4</v>
      </c>
      <c r="Q29" s="12" t="n">
        <v>-0.4</v>
      </c>
      <c r="R29" s="12" t="n">
        <v>0.781</v>
      </c>
      <c r="S29" s="12" t="n">
        <v>5</v>
      </c>
    </row>
    <row r="30" customFormat="false" ht="15" hidden="false" customHeight="false" outlineLevel="0" collapsed="false">
      <c r="A30" s="5" t="s">
        <v>69</v>
      </c>
      <c r="B30" s="5" t="s">
        <v>29</v>
      </c>
      <c r="C30" s="6" t="s">
        <v>30</v>
      </c>
      <c r="D30" s="6" t="n">
        <v>25</v>
      </c>
      <c r="E30" s="6" t="n">
        <v>20</v>
      </c>
      <c r="F30" s="6" t="n">
        <v>5</v>
      </c>
      <c r="G30" s="6" t="n">
        <v>0.764</v>
      </c>
      <c r="H30" s="6" t="n">
        <v>15</v>
      </c>
      <c r="I30" s="6" t="n">
        <v>8</v>
      </c>
      <c r="J30" s="7" t="n">
        <v>2</v>
      </c>
      <c r="K30" s="6" t="n">
        <v>4</v>
      </c>
      <c r="L30" s="13" t="s">
        <v>20</v>
      </c>
      <c r="M30" s="6" t="n">
        <v>3.82</v>
      </c>
      <c r="N30" s="6" t="n">
        <v>0</v>
      </c>
      <c r="O30" s="6" t="n">
        <v>0</v>
      </c>
      <c r="P30" s="6" t="n">
        <v>2.49</v>
      </c>
      <c r="Q30" s="6" t="n">
        <v>4.8</v>
      </c>
      <c r="R30" s="6" t="n">
        <v>0.915</v>
      </c>
      <c r="S30" s="6" t="n">
        <v>39</v>
      </c>
    </row>
    <row r="31" customFormat="false" ht="15" hidden="false" customHeight="false" outlineLevel="0" collapsed="false">
      <c r="A31" s="11" t="s">
        <v>70</v>
      </c>
      <c r="B31" s="11" t="s">
        <v>23</v>
      </c>
      <c r="C31" s="12" t="s">
        <v>24</v>
      </c>
      <c r="D31" s="12" t="n">
        <v>21</v>
      </c>
      <c r="E31" s="12" t="n">
        <v>18</v>
      </c>
      <c r="F31" s="12" t="n">
        <v>3</v>
      </c>
      <c r="G31" s="12" t="n">
        <v>0.631</v>
      </c>
      <c r="H31" s="12" t="n">
        <v>11</v>
      </c>
      <c r="I31" s="12" t="n">
        <v>11</v>
      </c>
      <c r="J31" s="13" t="n">
        <v>0</v>
      </c>
      <c r="K31" s="12" t="n">
        <v>4</v>
      </c>
      <c r="L31" s="13" t="s">
        <v>20</v>
      </c>
      <c r="M31" s="12" t="n">
        <v>0.03</v>
      </c>
      <c r="N31" s="12" t="n">
        <v>0</v>
      </c>
      <c r="O31" s="12" t="n">
        <v>0</v>
      </c>
      <c r="P31" s="12" t="n">
        <v>2.3</v>
      </c>
      <c r="Q31" s="12" t="n">
        <v>8.8</v>
      </c>
      <c r="R31" s="12" t="n">
        <v>0.942</v>
      </c>
      <c r="S31" s="12" t="n">
        <v>31</v>
      </c>
    </row>
    <row r="32" customFormat="false" ht="15" hidden="false" customHeight="false" outlineLevel="0" collapsed="false">
      <c r="A32" s="5" t="s">
        <v>71</v>
      </c>
      <c r="B32" s="5" t="s">
        <v>32</v>
      </c>
      <c r="C32" s="6" t="s">
        <v>33</v>
      </c>
      <c r="D32" s="6" t="n">
        <v>17</v>
      </c>
      <c r="E32" s="6" t="n">
        <v>18</v>
      </c>
      <c r="F32" s="6" t="n">
        <v>1</v>
      </c>
      <c r="G32" s="6" t="n">
        <v>0.716</v>
      </c>
      <c r="H32" s="6" t="n">
        <v>13</v>
      </c>
      <c r="I32" s="6" t="n">
        <v>16</v>
      </c>
      <c r="J32" s="13" t="n">
        <v>0</v>
      </c>
      <c r="K32" s="6" t="n">
        <v>1</v>
      </c>
      <c r="L32" s="13" t="s">
        <v>20</v>
      </c>
      <c r="M32" s="6" t="n">
        <v>0.43</v>
      </c>
      <c r="N32" s="6" t="n">
        <v>-3</v>
      </c>
      <c r="O32" s="6" t="n">
        <v>0</v>
      </c>
      <c r="P32" s="6" t="n">
        <v>0.79</v>
      </c>
      <c r="Q32" s="6" t="n">
        <v>9.2</v>
      </c>
      <c r="R32" s="6" t="n">
        <v>0.904</v>
      </c>
      <c r="S32" s="6" t="n">
        <v>9</v>
      </c>
    </row>
    <row r="33" customFormat="false" ht="15" hidden="false" customHeight="false" outlineLevel="0" collapsed="false">
      <c r="A33" s="11" t="s">
        <v>72</v>
      </c>
      <c r="B33" s="11" t="s">
        <v>42</v>
      </c>
      <c r="C33" s="12" t="s">
        <v>43</v>
      </c>
      <c r="D33" s="12" t="n">
        <v>39</v>
      </c>
      <c r="E33" s="12" t="n">
        <v>31</v>
      </c>
      <c r="F33" s="12" t="n">
        <v>8</v>
      </c>
      <c r="G33" s="12" t="n">
        <v>0.722</v>
      </c>
      <c r="H33" s="12" t="n">
        <v>22</v>
      </c>
      <c r="I33" s="12" t="n">
        <v>6</v>
      </c>
      <c r="J33" s="7" t="n">
        <v>11</v>
      </c>
      <c r="K33" s="12" t="n">
        <v>9</v>
      </c>
      <c r="L33" s="13" t="s">
        <v>20</v>
      </c>
      <c r="M33" s="12" t="n">
        <v>-0.26</v>
      </c>
      <c r="N33" s="12" t="n">
        <v>-1.5</v>
      </c>
      <c r="O33" s="12" t="n">
        <v>0</v>
      </c>
      <c r="P33" s="12" t="n">
        <v>1.39</v>
      </c>
      <c r="Q33" s="12" t="n">
        <v>9.7</v>
      </c>
      <c r="R33" s="12" t="n">
        <v>0.648</v>
      </c>
      <c r="S33" s="12" t="n">
        <v>15</v>
      </c>
    </row>
    <row r="34" customFormat="false" ht="15" hidden="false" customHeight="false" outlineLevel="0" collapsed="false">
      <c r="A34" s="5" t="s">
        <v>73</v>
      </c>
      <c r="B34" s="5" t="s">
        <v>18</v>
      </c>
      <c r="C34" s="6" t="s">
        <v>19</v>
      </c>
      <c r="D34" s="6" t="n">
        <v>46</v>
      </c>
      <c r="E34" s="6" t="n">
        <v>33</v>
      </c>
      <c r="F34" s="6" t="n">
        <v>13</v>
      </c>
      <c r="G34" s="6" t="n">
        <v>0.667</v>
      </c>
      <c r="H34" s="6" t="n">
        <v>22</v>
      </c>
      <c r="I34" s="6" t="n">
        <v>12</v>
      </c>
      <c r="J34" s="7" t="n">
        <v>12</v>
      </c>
      <c r="K34" s="6" t="n">
        <v>13</v>
      </c>
      <c r="L34" s="7" t="s">
        <v>64</v>
      </c>
      <c r="M34" s="6" t="n">
        <v>1.29</v>
      </c>
      <c r="N34" s="6" t="n">
        <v>3</v>
      </c>
      <c r="O34" s="6" t="n">
        <v>0</v>
      </c>
      <c r="P34" s="6" t="n">
        <v>2.84</v>
      </c>
      <c r="Q34" s="6" t="n">
        <v>8.6</v>
      </c>
      <c r="R34" s="6" t="n">
        <v>0.605</v>
      </c>
      <c r="S34" s="6" t="n">
        <v>39</v>
      </c>
    </row>
    <row r="35" customFormat="false" ht="15" hidden="false" customHeight="false" outlineLevel="0" collapsed="false">
      <c r="A35" s="11" t="s">
        <v>74</v>
      </c>
      <c r="B35" s="11" t="s">
        <v>18</v>
      </c>
      <c r="C35" s="12" t="s">
        <v>19</v>
      </c>
      <c r="D35" s="12" t="n">
        <v>40</v>
      </c>
      <c r="E35" s="12" t="n">
        <v>32</v>
      </c>
      <c r="F35" s="12" t="n">
        <v>8</v>
      </c>
      <c r="G35" s="12" t="n">
        <v>0.681</v>
      </c>
      <c r="H35" s="12" t="n">
        <v>22</v>
      </c>
      <c r="I35" s="12" t="n">
        <v>5</v>
      </c>
      <c r="J35" s="7" t="n">
        <v>13</v>
      </c>
      <c r="K35" s="12" t="n">
        <v>9</v>
      </c>
      <c r="L35" s="13" t="s">
        <v>20</v>
      </c>
      <c r="M35" s="12" t="n">
        <v>2.2</v>
      </c>
      <c r="N35" s="12" t="n">
        <v>3</v>
      </c>
      <c r="O35" s="12" t="n">
        <v>0.8</v>
      </c>
      <c r="P35" s="12" t="n">
        <v>1.05</v>
      </c>
      <c r="Q35" s="12" t="n">
        <v>5.1</v>
      </c>
      <c r="R35" s="12" t="n">
        <v>0.604</v>
      </c>
      <c r="S35" s="12" t="n">
        <v>14</v>
      </c>
    </row>
    <row r="36" customFormat="false" ht="15" hidden="false" customHeight="false" outlineLevel="0" collapsed="false">
      <c r="A36" s="5" t="s">
        <v>75</v>
      </c>
      <c r="B36" s="5" t="s">
        <v>18</v>
      </c>
      <c r="C36" s="6" t="s">
        <v>19</v>
      </c>
      <c r="D36" s="6" t="n">
        <v>42</v>
      </c>
      <c r="E36" s="6" t="n">
        <v>30</v>
      </c>
      <c r="F36" s="6" t="n">
        <v>12</v>
      </c>
      <c r="G36" s="6" t="n">
        <v>0.649</v>
      </c>
      <c r="H36" s="6" t="n">
        <v>19</v>
      </c>
      <c r="I36" s="6" t="n">
        <v>6</v>
      </c>
      <c r="J36" s="7" t="n">
        <v>17</v>
      </c>
      <c r="K36" s="6" t="n">
        <v>13</v>
      </c>
      <c r="L36" s="7" t="s">
        <v>64</v>
      </c>
      <c r="M36" s="6" t="n">
        <v>6.53</v>
      </c>
      <c r="N36" s="6" t="n">
        <v>1.5</v>
      </c>
      <c r="O36" s="6" t="n">
        <v>0.8</v>
      </c>
      <c r="P36" s="6" t="n">
        <v>1.09</v>
      </c>
      <c r="Q36" s="6" t="n">
        <v>4.2</v>
      </c>
      <c r="R36" s="6" t="n">
        <v>0.607</v>
      </c>
      <c r="S36" s="6" t="n">
        <v>17</v>
      </c>
    </row>
    <row r="37" customFormat="false" ht="15" hidden="false" customHeight="false" outlineLevel="0" collapsed="false">
      <c r="A37" s="11" t="s">
        <v>76</v>
      </c>
      <c r="B37" s="11" t="s">
        <v>47</v>
      </c>
      <c r="C37" s="12" t="s">
        <v>48</v>
      </c>
      <c r="D37" s="12" t="n">
        <v>33</v>
      </c>
      <c r="E37" s="12" t="n">
        <v>26</v>
      </c>
      <c r="F37" s="12" t="n">
        <v>7</v>
      </c>
      <c r="G37" s="12" t="n">
        <v>0.614</v>
      </c>
      <c r="H37" s="12" t="n">
        <v>16</v>
      </c>
      <c r="I37" s="12" t="n">
        <v>12</v>
      </c>
      <c r="J37" s="7" t="n">
        <v>5</v>
      </c>
      <c r="K37" s="12" t="n">
        <v>8</v>
      </c>
      <c r="L37" s="13" t="s">
        <v>20</v>
      </c>
      <c r="M37" s="12" t="n">
        <v>0.15</v>
      </c>
      <c r="N37" s="12" t="n">
        <v>1.5</v>
      </c>
      <c r="O37" s="12" t="n">
        <v>0</v>
      </c>
      <c r="P37" s="12" t="n">
        <v>2.09</v>
      </c>
      <c r="Q37" s="12" t="n">
        <v>8.2</v>
      </c>
      <c r="R37" s="12" t="n">
        <v>0.786</v>
      </c>
      <c r="S37" s="12" t="n">
        <v>28</v>
      </c>
    </row>
    <row r="38" customFormat="false" ht="15" hidden="false" customHeight="false" outlineLevel="0" collapsed="false">
      <c r="A38" s="5" t="s">
        <v>77</v>
      </c>
      <c r="B38" s="5" t="s">
        <v>42</v>
      </c>
      <c r="C38" s="6" t="s">
        <v>43</v>
      </c>
      <c r="D38" s="6" t="n">
        <v>43</v>
      </c>
      <c r="E38" s="6" t="n">
        <v>36</v>
      </c>
      <c r="F38" s="6" t="n">
        <v>7</v>
      </c>
      <c r="G38" s="6" t="n">
        <v>0.764</v>
      </c>
      <c r="H38" s="6" t="n">
        <v>28</v>
      </c>
      <c r="I38" s="6" t="n">
        <v>14</v>
      </c>
      <c r="J38" s="7" t="n">
        <v>1</v>
      </c>
      <c r="K38" s="6" t="n">
        <v>7</v>
      </c>
      <c r="L38" s="13" t="s">
        <v>20</v>
      </c>
      <c r="M38" s="6" t="n">
        <v>0.4</v>
      </c>
      <c r="N38" s="6" t="n">
        <v>1.5</v>
      </c>
      <c r="O38" s="6" t="n">
        <v>0</v>
      </c>
      <c r="P38" s="6" t="n">
        <v>1.47</v>
      </c>
      <c r="Q38" s="6" t="n">
        <v>9.5</v>
      </c>
      <c r="R38" s="6" t="n">
        <v>0.651</v>
      </c>
      <c r="S38" s="6" t="n">
        <v>19</v>
      </c>
    </row>
    <row r="39" customFormat="false" ht="15" hidden="false" customHeight="false" outlineLevel="0" collapsed="false">
      <c r="A39" s="11" t="s">
        <v>78</v>
      </c>
      <c r="B39" s="11" t="s">
        <v>38</v>
      </c>
      <c r="C39" s="12" t="s">
        <v>39</v>
      </c>
      <c r="D39" s="12" t="n">
        <v>33</v>
      </c>
      <c r="E39" s="12" t="n">
        <v>34</v>
      </c>
      <c r="F39" s="12" t="n">
        <v>1</v>
      </c>
      <c r="G39" s="12" t="n">
        <v>0.72</v>
      </c>
      <c r="H39" s="12" t="n">
        <v>24</v>
      </c>
      <c r="I39" s="12" t="n">
        <v>4</v>
      </c>
      <c r="J39" s="7" t="n">
        <v>5</v>
      </c>
      <c r="K39" s="12" t="n">
        <v>2</v>
      </c>
      <c r="L39" s="13" t="s">
        <v>20</v>
      </c>
      <c r="M39" s="12" t="n">
        <v>0.13</v>
      </c>
      <c r="N39" s="12" t="n">
        <v>0</v>
      </c>
      <c r="O39" s="12" t="n">
        <v>0</v>
      </c>
      <c r="P39" s="12" t="n">
        <v>2.58</v>
      </c>
      <c r="Q39" s="12" t="n">
        <v>9.4</v>
      </c>
      <c r="R39" s="12" t="n">
        <v>0.843</v>
      </c>
      <c r="S39" s="12" t="n">
        <v>35</v>
      </c>
    </row>
    <row r="40" customFormat="false" ht="15" hidden="false" customHeight="false" outlineLevel="0" collapsed="false">
      <c r="A40" s="5" t="s">
        <v>79</v>
      </c>
      <c r="B40" s="5" t="s">
        <v>23</v>
      </c>
      <c r="C40" s="6" t="s">
        <v>24</v>
      </c>
      <c r="D40" s="6" t="n">
        <v>16</v>
      </c>
      <c r="E40" s="6" t="n">
        <v>19</v>
      </c>
      <c r="F40" s="6" t="n">
        <v>3</v>
      </c>
      <c r="G40" s="6" t="n">
        <v>0.638</v>
      </c>
      <c r="H40" s="6" t="n">
        <v>12</v>
      </c>
      <c r="I40" s="6" t="n">
        <v>15</v>
      </c>
      <c r="J40" s="13" t="n">
        <v>0</v>
      </c>
      <c r="K40" s="6" t="n">
        <v>2</v>
      </c>
      <c r="L40" s="13" t="s">
        <v>20</v>
      </c>
      <c r="M40" s="6" t="n">
        <v>0.57</v>
      </c>
      <c r="N40" s="6" t="n">
        <v>-1.5</v>
      </c>
      <c r="O40" s="6" t="n">
        <v>0</v>
      </c>
      <c r="P40" s="6" t="n">
        <v>1.61</v>
      </c>
      <c r="Q40" s="6" t="n">
        <v>5.3</v>
      </c>
      <c r="R40" s="6" t="n">
        <v>0.933</v>
      </c>
      <c r="S40" s="6" t="n">
        <v>25</v>
      </c>
    </row>
    <row r="41" customFormat="false" ht="15" hidden="false" customHeight="false" outlineLevel="0" collapsed="false">
      <c r="A41" s="11" t="s">
        <v>80</v>
      </c>
      <c r="B41" s="11" t="s">
        <v>51</v>
      </c>
      <c r="C41" s="12" t="s">
        <v>52</v>
      </c>
      <c r="D41" s="12" t="n">
        <v>33</v>
      </c>
      <c r="E41" s="12" t="n">
        <v>23</v>
      </c>
      <c r="F41" s="12" t="n">
        <v>10</v>
      </c>
      <c r="G41" s="12" t="n">
        <v>0.736</v>
      </c>
      <c r="H41" s="12" t="n">
        <v>17</v>
      </c>
      <c r="I41" s="12" t="n">
        <v>8</v>
      </c>
      <c r="J41" s="7" t="n">
        <v>8</v>
      </c>
      <c r="K41" s="12" t="n">
        <v>9</v>
      </c>
      <c r="L41" s="13" t="s">
        <v>20</v>
      </c>
      <c r="M41" s="12" t="n">
        <v>2.11</v>
      </c>
      <c r="N41" s="12" t="n">
        <v>3</v>
      </c>
      <c r="O41" s="12" t="n">
        <v>0</v>
      </c>
      <c r="P41" s="12" t="n">
        <v>2.57</v>
      </c>
      <c r="Q41" s="12" t="n">
        <v>6.3</v>
      </c>
      <c r="R41" s="12" t="n">
        <v>0.693</v>
      </c>
      <c r="S41" s="12" t="n">
        <v>39</v>
      </c>
    </row>
    <row r="42" customFormat="false" ht="15" hidden="false" customHeight="false" outlineLevel="0" collapsed="false">
      <c r="A42" s="5" t="s">
        <v>81</v>
      </c>
      <c r="B42" s="5" t="s">
        <v>51</v>
      </c>
      <c r="C42" s="6" t="s">
        <v>52</v>
      </c>
      <c r="D42" s="6" t="n">
        <v>28</v>
      </c>
      <c r="E42" s="6" t="n">
        <v>26</v>
      </c>
      <c r="F42" s="6" t="n">
        <v>2</v>
      </c>
      <c r="G42" s="6" t="n">
        <v>0.746</v>
      </c>
      <c r="H42" s="6" t="n">
        <v>19</v>
      </c>
      <c r="I42" s="6" t="n">
        <v>8</v>
      </c>
      <c r="J42" s="7" t="n">
        <v>1</v>
      </c>
      <c r="K42" s="6" t="n">
        <v>1</v>
      </c>
      <c r="L42" s="13" t="s">
        <v>20</v>
      </c>
      <c r="M42" s="6" t="n">
        <v>3.32</v>
      </c>
      <c r="N42" s="6" t="n">
        <v>-3</v>
      </c>
      <c r="O42" s="6" t="n">
        <v>0.8</v>
      </c>
      <c r="P42" s="6" t="n">
        <v>1.4</v>
      </c>
      <c r="Q42" s="6" t="n">
        <v>8.4</v>
      </c>
      <c r="R42" s="6" t="n">
        <v>0.693</v>
      </c>
      <c r="S42" s="6" t="n">
        <v>22</v>
      </c>
    </row>
    <row r="43" customFormat="false" ht="15" hidden="false" customHeight="false" outlineLevel="0" collapsed="false">
      <c r="A43" s="11" t="s">
        <v>82</v>
      </c>
      <c r="B43" s="11" t="s">
        <v>18</v>
      </c>
      <c r="C43" s="12" t="s">
        <v>19</v>
      </c>
      <c r="D43" s="12" t="n">
        <v>33</v>
      </c>
      <c r="E43" s="12" t="n">
        <v>29</v>
      </c>
      <c r="F43" s="12" t="n">
        <v>4</v>
      </c>
      <c r="G43" s="12" t="n">
        <v>0.764</v>
      </c>
      <c r="H43" s="12" t="n">
        <v>22</v>
      </c>
      <c r="I43" s="12" t="n">
        <v>16</v>
      </c>
      <c r="J43" s="13" t="n">
        <v>0</v>
      </c>
      <c r="K43" s="12" t="n">
        <v>4</v>
      </c>
      <c r="L43" s="13" t="s">
        <v>20</v>
      </c>
      <c r="M43" s="12" t="n">
        <v>-0.36</v>
      </c>
      <c r="N43" s="12" t="n">
        <v>-3</v>
      </c>
      <c r="O43" s="12" t="n">
        <v>0.8</v>
      </c>
      <c r="P43" s="12" t="n">
        <v>1.21</v>
      </c>
      <c r="Q43" s="12" t="n">
        <v>4.9</v>
      </c>
      <c r="R43" s="12" t="n">
        <v>0.606</v>
      </c>
      <c r="S43" s="12" t="n">
        <v>17</v>
      </c>
    </row>
    <row r="44" customFormat="false" ht="15" hidden="false" customHeight="false" outlineLevel="0" collapsed="false">
      <c r="A44" s="5" t="s">
        <v>83</v>
      </c>
      <c r="B44" s="5" t="s">
        <v>84</v>
      </c>
      <c r="C44" s="6" t="s">
        <v>85</v>
      </c>
      <c r="D44" s="6" t="n">
        <v>25</v>
      </c>
      <c r="E44" s="6" t="n">
        <v>20</v>
      </c>
      <c r="F44" s="6" t="n">
        <v>5</v>
      </c>
      <c r="G44" s="6" t="n">
        <v>0.763</v>
      </c>
      <c r="H44" s="6" t="n">
        <v>15</v>
      </c>
      <c r="I44" s="6" t="n">
        <v>9</v>
      </c>
      <c r="J44" s="7" t="n">
        <v>1</v>
      </c>
      <c r="K44" s="6" t="n">
        <v>4</v>
      </c>
      <c r="L44" s="13" t="s">
        <v>20</v>
      </c>
      <c r="M44" s="6" t="n">
        <v>0.72</v>
      </c>
      <c r="N44" s="6" t="n">
        <v>-1.5</v>
      </c>
      <c r="O44" s="6" t="n">
        <v>0</v>
      </c>
      <c r="P44" s="6" t="n">
        <v>1.33</v>
      </c>
      <c r="Q44" s="6" t="n">
        <v>7.9</v>
      </c>
      <c r="R44" s="6" t="n">
        <v>0.72</v>
      </c>
      <c r="S44" s="6" t="n">
        <v>16</v>
      </c>
    </row>
    <row r="45" customFormat="false" ht="15" hidden="false" customHeight="false" outlineLevel="0" collapsed="false">
      <c r="A45" s="11" t="s">
        <v>86</v>
      </c>
      <c r="B45" s="11" t="s">
        <v>38</v>
      </c>
      <c r="C45" s="12" t="s">
        <v>39</v>
      </c>
      <c r="D45" s="12" t="n">
        <v>30</v>
      </c>
      <c r="E45" s="12" t="n">
        <v>26</v>
      </c>
      <c r="F45" s="12" t="n">
        <v>4</v>
      </c>
      <c r="G45" s="12" t="n">
        <v>0.786</v>
      </c>
      <c r="H45" s="12" t="n">
        <v>20</v>
      </c>
      <c r="I45" s="12" t="n">
        <v>4</v>
      </c>
      <c r="J45" s="7" t="n">
        <v>6</v>
      </c>
      <c r="K45" s="12" t="n">
        <v>4</v>
      </c>
      <c r="L45" s="13" t="s">
        <v>20</v>
      </c>
      <c r="M45" s="12" t="n">
        <v>2.73</v>
      </c>
      <c r="N45" s="12" t="n">
        <v>-1.5</v>
      </c>
      <c r="O45" s="12" t="n">
        <v>0</v>
      </c>
      <c r="P45" s="12" t="n">
        <v>2.16</v>
      </c>
      <c r="Q45" s="12" t="n">
        <v>5.6</v>
      </c>
      <c r="R45" s="12" t="n">
        <v>0.841</v>
      </c>
      <c r="S45" s="12" t="n">
        <v>33</v>
      </c>
    </row>
    <row r="46" customFormat="false" ht="15" hidden="false" customHeight="false" outlineLevel="0" collapsed="false">
      <c r="A46" s="5" t="s">
        <v>87</v>
      </c>
      <c r="B46" s="5" t="s">
        <v>55</v>
      </c>
      <c r="C46" s="6" t="s">
        <v>56</v>
      </c>
      <c r="D46" s="6" t="n">
        <v>34</v>
      </c>
      <c r="E46" s="6" t="n">
        <v>31</v>
      </c>
      <c r="F46" s="6" t="n">
        <v>3</v>
      </c>
      <c r="G46" s="6" t="n">
        <v>0.704</v>
      </c>
      <c r="H46" s="6" t="n">
        <v>22</v>
      </c>
      <c r="I46" s="6" t="n">
        <v>13</v>
      </c>
      <c r="J46" s="13" t="n">
        <v>0</v>
      </c>
      <c r="K46" s="6" t="n">
        <v>4</v>
      </c>
      <c r="L46" s="13" t="s">
        <v>20</v>
      </c>
      <c r="M46" s="6" t="n">
        <v>0.12</v>
      </c>
      <c r="N46" s="6" t="n">
        <v>1.5</v>
      </c>
      <c r="O46" s="6" t="n">
        <v>0</v>
      </c>
      <c r="P46" s="6" t="n">
        <v>1.68</v>
      </c>
      <c r="Q46" s="6" t="n">
        <v>4.4</v>
      </c>
      <c r="R46" s="6" t="n">
        <v>0.877</v>
      </c>
      <c r="S46" s="6" t="n">
        <v>27</v>
      </c>
    </row>
    <row r="47" customFormat="false" ht="15" hidden="false" customHeight="false" outlineLevel="0" collapsed="false">
      <c r="A47" s="11" t="s">
        <v>88</v>
      </c>
      <c r="B47" s="11" t="s">
        <v>18</v>
      </c>
      <c r="C47" s="12" t="s">
        <v>19</v>
      </c>
      <c r="D47" s="12" t="n">
        <v>42</v>
      </c>
      <c r="E47" s="12" t="n">
        <v>33</v>
      </c>
      <c r="F47" s="12" t="n">
        <v>9</v>
      </c>
      <c r="G47" s="12" t="n">
        <v>0.67</v>
      </c>
      <c r="H47" s="12" t="n">
        <v>22</v>
      </c>
      <c r="I47" s="12" t="n">
        <v>11</v>
      </c>
      <c r="J47" s="7" t="n">
        <v>9</v>
      </c>
      <c r="K47" s="12" t="n">
        <v>10</v>
      </c>
      <c r="L47" s="13" t="s">
        <v>20</v>
      </c>
      <c r="M47" s="12" t="n">
        <v>0.73</v>
      </c>
      <c r="N47" s="12" t="n">
        <v>1.5</v>
      </c>
      <c r="O47" s="12" t="n">
        <v>0.8</v>
      </c>
      <c r="P47" s="12" t="n">
        <v>1.06</v>
      </c>
      <c r="Q47" s="12" t="n">
        <v>9.7</v>
      </c>
      <c r="R47" s="12" t="n">
        <v>0.61</v>
      </c>
      <c r="S47" s="12" t="n">
        <v>12</v>
      </c>
    </row>
    <row r="48" customFormat="false" ht="15" hidden="false" customHeight="false" outlineLevel="0" collapsed="false">
      <c r="A48" s="5" t="s">
        <v>89</v>
      </c>
      <c r="B48" s="5" t="s">
        <v>18</v>
      </c>
      <c r="C48" s="6" t="s">
        <v>19</v>
      </c>
      <c r="D48" s="6" t="n">
        <v>38</v>
      </c>
      <c r="E48" s="6" t="n">
        <v>32</v>
      </c>
      <c r="F48" s="6" t="n">
        <v>6</v>
      </c>
      <c r="G48" s="6" t="n">
        <v>0.793</v>
      </c>
      <c r="H48" s="6" t="n">
        <v>25</v>
      </c>
      <c r="I48" s="6" t="n">
        <v>9</v>
      </c>
      <c r="J48" s="7" t="n">
        <v>4</v>
      </c>
      <c r="K48" s="6" t="n">
        <v>7</v>
      </c>
      <c r="L48" s="13" t="s">
        <v>20</v>
      </c>
      <c r="M48" s="6" t="n">
        <v>-0.05</v>
      </c>
      <c r="N48" s="6" t="n">
        <v>3</v>
      </c>
      <c r="O48" s="6" t="n">
        <v>0.8</v>
      </c>
      <c r="P48" s="6" t="n">
        <v>1.93</v>
      </c>
      <c r="Q48" s="6" t="n">
        <v>4.9</v>
      </c>
      <c r="R48" s="6" t="n">
        <v>0.609</v>
      </c>
      <c r="S48" s="6" t="n">
        <v>26</v>
      </c>
    </row>
    <row r="49" customFormat="false" ht="15" hidden="false" customHeight="false" outlineLevel="0" collapsed="false">
      <c r="A49" s="11" t="s">
        <v>90</v>
      </c>
      <c r="B49" s="11" t="s">
        <v>51</v>
      </c>
      <c r="C49" s="12" t="s">
        <v>52</v>
      </c>
      <c r="D49" s="12" t="n">
        <v>26</v>
      </c>
      <c r="E49" s="12" t="n">
        <v>19</v>
      </c>
      <c r="F49" s="12" t="n">
        <v>7</v>
      </c>
      <c r="G49" s="12" t="n">
        <v>0.708</v>
      </c>
      <c r="H49" s="12" t="n">
        <v>13</v>
      </c>
      <c r="I49" s="12" t="n">
        <v>16</v>
      </c>
      <c r="J49" s="13" t="n">
        <v>0</v>
      </c>
      <c r="K49" s="12" t="n">
        <v>6</v>
      </c>
      <c r="L49" s="13" t="s">
        <v>20</v>
      </c>
      <c r="M49" s="12" t="n">
        <v>-0.03</v>
      </c>
      <c r="N49" s="12" t="n">
        <v>1.5</v>
      </c>
      <c r="O49" s="12" t="n">
        <v>0</v>
      </c>
      <c r="P49" s="12" t="n">
        <v>1.38</v>
      </c>
      <c r="Q49" s="12" t="n">
        <v>5</v>
      </c>
      <c r="R49" s="12" t="n">
        <v>0.698</v>
      </c>
      <c r="S49" s="12" t="n">
        <v>22</v>
      </c>
    </row>
    <row r="50" customFormat="false" ht="15" hidden="false" customHeight="false" outlineLevel="0" collapsed="false">
      <c r="A50" s="5" t="s">
        <v>91</v>
      </c>
      <c r="B50" s="5" t="s">
        <v>47</v>
      </c>
      <c r="C50" s="6" t="s">
        <v>48</v>
      </c>
      <c r="D50" s="6" t="n">
        <v>25</v>
      </c>
      <c r="E50" s="6" t="n">
        <v>21</v>
      </c>
      <c r="F50" s="6" t="n">
        <v>4</v>
      </c>
      <c r="G50" s="6" t="n">
        <v>0.661</v>
      </c>
      <c r="H50" s="6" t="n">
        <v>14</v>
      </c>
      <c r="I50" s="6" t="n">
        <v>6</v>
      </c>
      <c r="J50" s="7" t="n">
        <v>5</v>
      </c>
      <c r="K50" s="6" t="n">
        <v>3</v>
      </c>
      <c r="L50" s="13" t="s">
        <v>20</v>
      </c>
      <c r="M50" s="6" t="n">
        <v>-0.5</v>
      </c>
      <c r="N50" s="6" t="n">
        <v>-3</v>
      </c>
      <c r="O50" s="6" t="n">
        <v>0</v>
      </c>
      <c r="P50" s="6" t="n">
        <v>1.33</v>
      </c>
      <c r="Q50" s="6" t="n">
        <v>5.1</v>
      </c>
      <c r="R50" s="6" t="n">
        <v>0.79</v>
      </c>
      <c r="S50" s="6" t="n">
        <v>21</v>
      </c>
    </row>
    <row r="51" customFormat="false" ht="15" hidden="false" customHeight="false" outlineLevel="0" collapsed="false">
      <c r="A51" s="11" t="s">
        <v>92</v>
      </c>
      <c r="B51" s="11" t="s">
        <v>42</v>
      </c>
      <c r="C51" s="12" t="s">
        <v>43</v>
      </c>
      <c r="D51" s="12" t="n">
        <v>42</v>
      </c>
      <c r="E51" s="12" t="n">
        <v>33</v>
      </c>
      <c r="F51" s="12" t="n">
        <v>9</v>
      </c>
      <c r="G51" s="12" t="n">
        <v>0.71</v>
      </c>
      <c r="H51" s="12" t="n">
        <v>23</v>
      </c>
      <c r="I51" s="12" t="n">
        <v>10</v>
      </c>
      <c r="J51" s="7" t="n">
        <v>9</v>
      </c>
      <c r="K51" s="12" t="n">
        <v>8</v>
      </c>
      <c r="L51" s="13" t="s">
        <v>20</v>
      </c>
      <c r="M51" s="12" t="n">
        <v>0.48</v>
      </c>
      <c r="N51" s="12" t="n">
        <v>3</v>
      </c>
      <c r="O51" s="12" t="n">
        <v>0</v>
      </c>
      <c r="P51" s="12" t="n">
        <v>1.44</v>
      </c>
      <c r="Q51" s="12" t="n">
        <v>7.1</v>
      </c>
      <c r="R51" s="12" t="n">
        <v>0.651</v>
      </c>
      <c r="S51" s="12" t="n">
        <v>17</v>
      </c>
    </row>
    <row r="52" customFormat="false" ht="15" hidden="false" customHeight="false" outlineLevel="0" collapsed="false">
      <c r="A52" s="5" t="s">
        <v>93</v>
      </c>
      <c r="B52" s="5" t="s">
        <v>55</v>
      </c>
      <c r="C52" s="6" t="s">
        <v>56</v>
      </c>
      <c r="D52" s="6" t="n">
        <v>38</v>
      </c>
      <c r="E52" s="6" t="n">
        <v>33</v>
      </c>
      <c r="F52" s="6" t="n">
        <v>5</v>
      </c>
      <c r="G52" s="6" t="n">
        <v>0.776</v>
      </c>
      <c r="H52" s="6" t="n">
        <v>26</v>
      </c>
      <c r="I52" s="6" t="n">
        <v>12</v>
      </c>
      <c r="J52" s="13" t="n">
        <v>0</v>
      </c>
      <c r="K52" s="6" t="n">
        <v>4</v>
      </c>
      <c r="L52" s="13" t="s">
        <v>20</v>
      </c>
      <c r="M52" s="6" t="n">
        <v>0.37</v>
      </c>
      <c r="N52" s="6" t="n">
        <v>0</v>
      </c>
      <c r="O52" s="6" t="n">
        <v>0</v>
      </c>
      <c r="P52" s="6" t="n">
        <v>2.08</v>
      </c>
      <c r="Q52" s="6" t="n">
        <v>9.8</v>
      </c>
      <c r="R52" s="6" t="n">
        <v>0.871</v>
      </c>
      <c r="S52" s="6" t="n">
        <v>29</v>
      </c>
    </row>
    <row r="53" customFormat="false" ht="15" hidden="false" customHeight="false" outlineLevel="0" collapsed="false">
      <c r="A53" s="11" t="s">
        <v>94</v>
      </c>
      <c r="B53" s="11" t="s">
        <v>55</v>
      </c>
      <c r="C53" s="12" t="s">
        <v>56</v>
      </c>
      <c r="D53" s="12" t="n">
        <v>29</v>
      </c>
      <c r="E53" s="12" t="n">
        <v>29</v>
      </c>
      <c r="F53" s="12" t="n">
        <v>0</v>
      </c>
      <c r="G53" s="12" t="n">
        <v>0.639</v>
      </c>
      <c r="H53" s="12" t="n">
        <v>19</v>
      </c>
      <c r="I53" s="12" t="n">
        <v>14</v>
      </c>
      <c r="J53" s="13" t="n">
        <v>0</v>
      </c>
      <c r="K53" s="12" t="n">
        <v>0</v>
      </c>
      <c r="L53" s="13" t="s">
        <v>20</v>
      </c>
      <c r="M53" s="12" t="n">
        <v>-0.27</v>
      </c>
      <c r="N53" s="12" t="n">
        <v>-1.5</v>
      </c>
      <c r="O53" s="12" t="n">
        <v>0</v>
      </c>
      <c r="P53" s="12" t="n">
        <v>2.4</v>
      </c>
      <c r="Q53" s="12" t="n">
        <v>4.9</v>
      </c>
      <c r="R53" s="12" t="n">
        <v>0.873</v>
      </c>
      <c r="S53" s="12" t="n">
        <v>37</v>
      </c>
    </row>
    <row r="54" customFormat="false" ht="15" hidden="false" customHeight="false" outlineLevel="0" collapsed="false">
      <c r="A54" s="5" t="s">
        <v>95</v>
      </c>
      <c r="B54" s="5" t="s">
        <v>32</v>
      </c>
      <c r="C54" s="6" t="s">
        <v>33</v>
      </c>
      <c r="D54" s="6" t="n">
        <v>27</v>
      </c>
      <c r="E54" s="6" t="n">
        <v>23</v>
      </c>
      <c r="F54" s="6" t="n">
        <v>4</v>
      </c>
      <c r="G54" s="6" t="n">
        <v>0.665</v>
      </c>
      <c r="H54" s="6" t="n">
        <v>15</v>
      </c>
      <c r="I54" s="6" t="n">
        <v>8</v>
      </c>
      <c r="J54" s="7" t="n">
        <v>4</v>
      </c>
      <c r="K54" s="6" t="n">
        <v>5</v>
      </c>
      <c r="L54" s="13" t="s">
        <v>20</v>
      </c>
      <c r="M54" s="6" t="n">
        <v>7</v>
      </c>
      <c r="N54" s="6" t="n">
        <v>-3</v>
      </c>
      <c r="O54" s="6" t="n">
        <v>0</v>
      </c>
      <c r="P54" s="6" t="n">
        <v>2.1</v>
      </c>
      <c r="Q54" s="6" t="n">
        <v>9.2</v>
      </c>
      <c r="R54" s="6" t="n">
        <v>0.906</v>
      </c>
      <c r="S54" s="6" t="n">
        <v>34</v>
      </c>
    </row>
    <row r="55" customFormat="false" ht="15" hidden="false" customHeight="false" outlineLevel="0" collapsed="false">
      <c r="A55" s="11" t="s">
        <v>96</v>
      </c>
      <c r="B55" s="11" t="s">
        <v>42</v>
      </c>
      <c r="C55" s="12" t="s">
        <v>43</v>
      </c>
      <c r="D55" s="12" t="n">
        <v>40</v>
      </c>
      <c r="E55" s="12" t="n">
        <v>36</v>
      </c>
      <c r="F55" s="12" t="n">
        <v>4</v>
      </c>
      <c r="G55" s="12" t="n">
        <v>0.727</v>
      </c>
      <c r="H55" s="12" t="n">
        <v>26</v>
      </c>
      <c r="I55" s="12" t="n">
        <v>7</v>
      </c>
      <c r="J55" s="7" t="n">
        <v>7</v>
      </c>
      <c r="K55" s="12" t="n">
        <v>5</v>
      </c>
      <c r="L55" s="13" t="s">
        <v>20</v>
      </c>
      <c r="M55" s="12" t="n">
        <v>3.09</v>
      </c>
      <c r="N55" s="12" t="n">
        <v>-3</v>
      </c>
      <c r="O55" s="12" t="n">
        <v>0</v>
      </c>
      <c r="P55" s="12" t="n">
        <v>1.14</v>
      </c>
      <c r="Q55" s="12" t="n">
        <v>7.4</v>
      </c>
      <c r="R55" s="12" t="n">
        <v>0.654</v>
      </c>
      <c r="S55" s="12" t="n">
        <v>15</v>
      </c>
    </row>
    <row r="56" customFormat="false" ht="15" hidden="false" customHeight="false" outlineLevel="0" collapsed="false">
      <c r="A56" s="5" t="s">
        <v>97</v>
      </c>
      <c r="B56" s="5" t="s">
        <v>84</v>
      </c>
      <c r="C56" s="6" t="s">
        <v>85</v>
      </c>
      <c r="D56" s="6" t="n">
        <v>25</v>
      </c>
      <c r="E56" s="6" t="n">
        <v>21</v>
      </c>
      <c r="F56" s="6" t="n">
        <v>4</v>
      </c>
      <c r="G56" s="6" t="n">
        <v>0.742</v>
      </c>
      <c r="H56" s="6" t="n">
        <v>16</v>
      </c>
      <c r="I56" s="6" t="n">
        <v>4</v>
      </c>
      <c r="J56" s="7" t="n">
        <v>5</v>
      </c>
      <c r="K56" s="6" t="n">
        <v>4</v>
      </c>
      <c r="L56" s="13" t="s">
        <v>20</v>
      </c>
      <c r="M56" s="6" t="n">
        <v>0.59</v>
      </c>
      <c r="N56" s="6" t="n">
        <v>0</v>
      </c>
      <c r="O56" s="6" t="n">
        <v>0</v>
      </c>
      <c r="P56" s="6" t="n">
        <v>1.59</v>
      </c>
      <c r="Q56" s="6" t="n">
        <v>7.2</v>
      </c>
      <c r="R56" s="6" t="n">
        <v>0.722</v>
      </c>
      <c r="S56" s="6" t="n">
        <v>19</v>
      </c>
    </row>
    <row r="57" customFormat="false" ht="15" hidden="false" customHeight="false" outlineLevel="0" collapsed="false">
      <c r="A57" s="11" t="s">
        <v>98</v>
      </c>
      <c r="B57" s="11" t="s">
        <v>47</v>
      </c>
      <c r="C57" s="12" t="s">
        <v>48</v>
      </c>
      <c r="D57" s="12" t="n">
        <v>34</v>
      </c>
      <c r="E57" s="12" t="n">
        <v>29</v>
      </c>
      <c r="F57" s="12" t="n">
        <v>5</v>
      </c>
      <c r="G57" s="12" t="n">
        <v>0.728</v>
      </c>
      <c r="H57" s="12" t="n">
        <v>21</v>
      </c>
      <c r="I57" s="12" t="n">
        <v>17</v>
      </c>
      <c r="J57" s="13" t="n">
        <v>0</v>
      </c>
      <c r="K57" s="12" t="n">
        <v>4</v>
      </c>
      <c r="L57" s="13" t="s">
        <v>20</v>
      </c>
      <c r="M57" s="12" t="n">
        <v>3.77</v>
      </c>
      <c r="N57" s="12" t="n">
        <v>0</v>
      </c>
      <c r="O57" s="12" t="n">
        <v>0</v>
      </c>
      <c r="P57" s="12" t="n">
        <v>1.67</v>
      </c>
      <c r="Q57" s="12" t="n">
        <v>7.9</v>
      </c>
      <c r="R57" s="12" t="n">
        <v>0.794</v>
      </c>
      <c r="S57" s="12" t="n">
        <v>26</v>
      </c>
    </row>
    <row r="58" customFormat="false" ht="15" hidden="false" customHeight="false" outlineLevel="0" collapsed="false">
      <c r="A58" s="5" t="s">
        <v>99</v>
      </c>
      <c r="B58" s="5" t="s">
        <v>23</v>
      </c>
      <c r="C58" s="6" t="s">
        <v>24</v>
      </c>
      <c r="D58" s="6" t="n">
        <v>31</v>
      </c>
      <c r="E58" s="6" t="n">
        <v>23</v>
      </c>
      <c r="F58" s="6" t="n">
        <v>8</v>
      </c>
      <c r="G58" s="6" t="n">
        <v>0.653</v>
      </c>
      <c r="H58" s="6" t="n">
        <v>15</v>
      </c>
      <c r="I58" s="6" t="n">
        <v>4</v>
      </c>
      <c r="J58" s="7" t="n">
        <v>12</v>
      </c>
      <c r="K58" s="6" t="n">
        <v>7</v>
      </c>
      <c r="L58" s="13" t="s">
        <v>20</v>
      </c>
      <c r="M58" s="6" t="n">
        <v>7.31</v>
      </c>
      <c r="N58" s="6" t="n">
        <v>1.5</v>
      </c>
      <c r="O58" s="6" t="n">
        <v>0</v>
      </c>
      <c r="P58" s="6" t="n">
        <v>0.57</v>
      </c>
      <c r="Q58" s="6" t="n">
        <v>8.6</v>
      </c>
      <c r="R58" s="6" t="n">
        <v>0.935</v>
      </c>
      <c r="S58" s="6" t="n">
        <v>7</v>
      </c>
    </row>
    <row r="59" customFormat="false" ht="15" hidden="false" customHeight="false" outlineLevel="0" collapsed="false">
      <c r="A59" s="11" t="s">
        <v>100</v>
      </c>
      <c r="B59" s="11" t="s">
        <v>47</v>
      </c>
      <c r="C59" s="12" t="s">
        <v>48</v>
      </c>
      <c r="D59" s="12" t="n">
        <v>26</v>
      </c>
      <c r="E59" s="12" t="n">
        <v>23</v>
      </c>
      <c r="F59" s="12" t="n">
        <v>3</v>
      </c>
      <c r="G59" s="12" t="n">
        <v>0.689</v>
      </c>
      <c r="H59" s="12" t="n">
        <v>16</v>
      </c>
      <c r="I59" s="12" t="n">
        <v>17</v>
      </c>
      <c r="J59" s="13" t="n">
        <v>0</v>
      </c>
      <c r="K59" s="12" t="n">
        <v>4</v>
      </c>
      <c r="L59" s="13" t="s">
        <v>20</v>
      </c>
      <c r="M59" s="12" t="n">
        <v>-0.49</v>
      </c>
      <c r="N59" s="12" t="n">
        <v>-3</v>
      </c>
      <c r="O59" s="12" t="n">
        <v>0.8</v>
      </c>
      <c r="P59" s="12" t="n">
        <v>2.31</v>
      </c>
      <c r="Q59" s="12" t="n">
        <v>6.3</v>
      </c>
      <c r="R59" s="12" t="n">
        <v>0.793</v>
      </c>
      <c r="S59" s="12" t="n">
        <v>32</v>
      </c>
    </row>
    <row r="60" customFormat="false" ht="15" hidden="false" customHeight="false" outlineLevel="0" collapsed="false">
      <c r="A60" s="5" t="s">
        <v>101</v>
      </c>
      <c r="B60" s="5" t="s">
        <v>55</v>
      </c>
      <c r="C60" s="6" t="s">
        <v>56</v>
      </c>
      <c r="D60" s="6" t="n">
        <v>34</v>
      </c>
      <c r="E60" s="6" t="n">
        <v>33</v>
      </c>
      <c r="F60" s="6" t="n">
        <v>1</v>
      </c>
      <c r="G60" s="6" t="n">
        <v>0.739</v>
      </c>
      <c r="H60" s="6" t="n">
        <v>24</v>
      </c>
      <c r="I60" s="6" t="n">
        <v>15</v>
      </c>
      <c r="J60" s="13" t="n">
        <v>0</v>
      </c>
      <c r="K60" s="6" t="n">
        <v>0</v>
      </c>
      <c r="L60" s="13" t="s">
        <v>20</v>
      </c>
      <c r="M60" s="6" t="n">
        <v>0.26</v>
      </c>
      <c r="N60" s="6" t="n">
        <v>-1.5</v>
      </c>
      <c r="O60" s="6" t="n">
        <v>0</v>
      </c>
      <c r="P60" s="6" t="n">
        <v>1.99</v>
      </c>
      <c r="Q60" s="6" t="n">
        <v>9.5</v>
      </c>
      <c r="R60" s="6" t="n">
        <v>0.874</v>
      </c>
      <c r="S60" s="6" t="n">
        <v>32</v>
      </c>
    </row>
    <row r="61" customFormat="false" ht="15" hidden="false" customHeight="false" outlineLevel="0" collapsed="false">
      <c r="A61" s="11" t="s">
        <v>102</v>
      </c>
      <c r="B61" s="11" t="s">
        <v>55</v>
      </c>
      <c r="C61" s="12" t="s">
        <v>56</v>
      </c>
      <c r="D61" s="12" t="n">
        <v>43</v>
      </c>
      <c r="E61" s="12" t="n">
        <v>31</v>
      </c>
      <c r="F61" s="12" t="n">
        <v>12</v>
      </c>
      <c r="G61" s="12" t="n">
        <v>0.751</v>
      </c>
      <c r="H61" s="12" t="n">
        <v>23</v>
      </c>
      <c r="I61" s="12" t="n">
        <v>12</v>
      </c>
      <c r="J61" s="7" t="n">
        <v>8</v>
      </c>
      <c r="K61" s="12" t="n">
        <v>12</v>
      </c>
      <c r="L61" s="7" t="s">
        <v>64</v>
      </c>
      <c r="M61" s="12" t="n">
        <v>2.64</v>
      </c>
      <c r="N61" s="12" t="n">
        <v>3</v>
      </c>
      <c r="O61" s="12" t="n">
        <v>0.8</v>
      </c>
      <c r="P61" s="12" t="n">
        <v>1.99</v>
      </c>
      <c r="Q61" s="12" t="n">
        <v>9</v>
      </c>
      <c r="R61" s="12" t="n">
        <v>0.874</v>
      </c>
      <c r="S61" s="12" t="n">
        <v>26</v>
      </c>
    </row>
    <row r="62" customFormat="false" ht="15" hidden="false" customHeight="false" outlineLevel="0" collapsed="false">
      <c r="A62" s="5" t="s">
        <v>103</v>
      </c>
      <c r="B62" s="5" t="s">
        <v>18</v>
      </c>
      <c r="C62" s="6" t="s">
        <v>19</v>
      </c>
      <c r="D62" s="6" t="n">
        <v>38</v>
      </c>
      <c r="E62" s="6" t="n">
        <v>32</v>
      </c>
      <c r="F62" s="6" t="n">
        <v>6</v>
      </c>
      <c r="G62" s="6" t="n">
        <v>0.707</v>
      </c>
      <c r="H62" s="6" t="n">
        <v>23</v>
      </c>
      <c r="I62" s="6" t="n">
        <v>9</v>
      </c>
      <c r="J62" s="7" t="n">
        <v>6</v>
      </c>
      <c r="K62" s="6" t="n">
        <v>6</v>
      </c>
      <c r="L62" s="13" t="s">
        <v>20</v>
      </c>
      <c r="M62" s="6" t="n">
        <v>1.13</v>
      </c>
      <c r="N62" s="6" t="n">
        <v>-1.5</v>
      </c>
      <c r="O62" s="6" t="n">
        <v>0</v>
      </c>
      <c r="P62" s="6" t="n">
        <v>2.05</v>
      </c>
      <c r="Q62" s="6" t="n">
        <v>7.5</v>
      </c>
      <c r="R62" s="6" t="n">
        <v>0.612</v>
      </c>
      <c r="S62" s="6" t="n">
        <v>34</v>
      </c>
    </row>
    <row r="63" customFormat="false" ht="15" hidden="false" customHeight="false" outlineLevel="0" collapsed="false">
      <c r="A63" s="11" t="s">
        <v>104</v>
      </c>
      <c r="B63" s="11" t="s">
        <v>29</v>
      </c>
      <c r="C63" s="12" t="s">
        <v>30</v>
      </c>
      <c r="D63" s="12" t="n">
        <v>24</v>
      </c>
      <c r="E63" s="12" t="n">
        <v>23</v>
      </c>
      <c r="F63" s="12" t="n">
        <v>1</v>
      </c>
      <c r="G63" s="12" t="n">
        <v>0.683</v>
      </c>
      <c r="H63" s="12" t="n">
        <v>16</v>
      </c>
      <c r="I63" s="12" t="n">
        <v>15</v>
      </c>
      <c r="J63" s="13" t="n">
        <v>0</v>
      </c>
      <c r="K63" s="12" t="n">
        <v>2</v>
      </c>
      <c r="L63" s="13" t="s">
        <v>20</v>
      </c>
      <c r="M63" s="12" t="n">
        <v>3.66</v>
      </c>
      <c r="N63" s="12" t="n">
        <v>0</v>
      </c>
      <c r="O63" s="12" t="n">
        <v>0</v>
      </c>
      <c r="P63" s="12" t="n">
        <v>2.59</v>
      </c>
      <c r="Q63" s="12" t="n">
        <v>4.7</v>
      </c>
      <c r="R63" s="12" t="n">
        <v>0.919</v>
      </c>
      <c r="S63" s="12" t="n">
        <v>36</v>
      </c>
    </row>
    <row r="64" customFormat="false" ht="15" hidden="false" customHeight="false" outlineLevel="0" collapsed="false">
      <c r="A64" s="5" t="s">
        <v>105</v>
      </c>
      <c r="B64" s="5" t="s">
        <v>84</v>
      </c>
      <c r="C64" s="6" t="s">
        <v>85</v>
      </c>
      <c r="D64" s="6" t="n">
        <v>27</v>
      </c>
      <c r="E64" s="6" t="n">
        <v>26</v>
      </c>
      <c r="F64" s="6" t="n">
        <v>1</v>
      </c>
      <c r="G64" s="6" t="n">
        <v>0.62</v>
      </c>
      <c r="H64" s="6" t="n">
        <v>16</v>
      </c>
      <c r="I64" s="6" t="n">
        <v>11</v>
      </c>
      <c r="J64" s="13" t="n">
        <v>0</v>
      </c>
      <c r="K64" s="6" t="n">
        <v>2</v>
      </c>
      <c r="L64" s="13" t="s">
        <v>20</v>
      </c>
      <c r="M64" s="6" t="n">
        <v>3.95</v>
      </c>
      <c r="N64" s="6" t="n">
        <v>-3</v>
      </c>
      <c r="O64" s="6" t="n">
        <v>0</v>
      </c>
      <c r="P64" s="6" t="n">
        <v>2.65</v>
      </c>
      <c r="Q64" s="6" t="n">
        <v>8.6</v>
      </c>
      <c r="R64" s="6" t="n">
        <v>0.725</v>
      </c>
      <c r="S64" s="6" t="n">
        <v>36</v>
      </c>
    </row>
    <row r="65" customFormat="false" ht="15" hidden="false" customHeight="false" outlineLevel="0" collapsed="false">
      <c r="A65" s="11" t="s">
        <v>106</v>
      </c>
      <c r="B65" s="11" t="s">
        <v>18</v>
      </c>
      <c r="C65" s="12" t="s">
        <v>19</v>
      </c>
      <c r="D65" s="12" t="n">
        <v>43</v>
      </c>
      <c r="E65" s="12" t="n">
        <v>35</v>
      </c>
      <c r="F65" s="12" t="n">
        <v>8</v>
      </c>
      <c r="G65" s="12" t="n">
        <v>0.736</v>
      </c>
      <c r="H65" s="12" t="n">
        <v>26</v>
      </c>
      <c r="I65" s="12" t="n">
        <v>8</v>
      </c>
      <c r="J65" s="7" t="n">
        <v>9</v>
      </c>
      <c r="K65" s="12" t="n">
        <v>9</v>
      </c>
      <c r="L65" s="13" t="s">
        <v>20</v>
      </c>
      <c r="M65" s="12" t="n">
        <v>0.31</v>
      </c>
      <c r="N65" s="12" t="n">
        <v>3</v>
      </c>
      <c r="O65" s="12" t="n">
        <v>0</v>
      </c>
      <c r="P65" s="12" t="n">
        <v>2.42</v>
      </c>
      <c r="Q65" s="12" t="n">
        <v>9.3</v>
      </c>
      <c r="R65" s="12" t="n">
        <v>0.608</v>
      </c>
      <c r="S65" s="12" t="n">
        <v>33</v>
      </c>
    </row>
    <row r="66" customFormat="false" ht="15" hidden="false" customHeight="false" outlineLevel="0" collapsed="false">
      <c r="A66" s="5" t="s">
        <v>107</v>
      </c>
      <c r="B66" s="5" t="s">
        <v>32</v>
      </c>
      <c r="C66" s="6" t="s">
        <v>33</v>
      </c>
      <c r="D66" s="6" t="n">
        <v>22</v>
      </c>
      <c r="E66" s="6" t="n">
        <v>19</v>
      </c>
      <c r="F66" s="6" t="n">
        <v>3</v>
      </c>
      <c r="G66" s="6" t="n">
        <v>0.637</v>
      </c>
      <c r="H66" s="6" t="n">
        <v>12</v>
      </c>
      <c r="I66" s="6" t="n">
        <v>16</v>
      </c>
      <c r="J66" s="13" t="n">
        <v>0</v>
      </c>
      <c r="K66" s="6" t="n">
        <v>4</v>
      </c>
      <c r="L66" s="13" t="s">
        <v>20</v>
      </c>
      <c r="M66" s="6" t="n">
        <v>1.54</v>
      </c>
      <c r="N66" s="6" t="n">
        <v>3</v>
      </c>
      <c r="O66" s="6" t="n">
        <v>0</v>
      </c>
      <c r="P66" s="6" t="n">
        <v>0.61</v>
      </c>
      <c r="Q66" s="6" t="n">
        <v>8</v>
      </c>
      <c r="R66" s="6" t="n">
        <v>0.904</v>
      </c>
      <c r="S66" s="6" t="n">
        <v>7</v>
      </c>
    </row>
    <row r="67" customFormat="false" ht="15" hidden="false" customHeight="false" outlineLevel="0" collapsed="false">
      <c r="A67" s="11" t="s">
        <v>108</v>
      </c>
      <c r="B67" s="11" t="s">
        <v>47</v>
      </c>
      <c r="C67" s="12" t="s">
        <v>48</v>
      </c>
      <c r="D67" s="12" t="n">
        <v>30</v>
      </c>
      <c r="E67" s="12" t="n">
        <v>25</v>
      </c>
      <c r="F67" s="12" t="n">
        <v>5</v>
      </c>
      <c r="G67" s="12" t="n">
        <v>0.611</v>
      </c>
      <c r="H67" s="12" t="n">
        <v>15</v>
      </c>
      <c r="I67" s="12" t="n">
        <v>7</v>
      </c>
      <c r="J67" s="7" t="n">
        <v>8</v>
      </c>
      <c r="K67" s="12" t="n">
        <v>6</v>
      </c>
      <c r="L67" s="13" t="s">
        <v>20</v>
      </c>
      <c r="M67" s="12" t="n">
        <v>2.81</v>
      </c>
      <c r="N67" s="12" t="n">
        <v>1.5</v>
      </c>
      <c r="O67" s="12" t="n">
        <v>0</v>
      </c>
      <c r="P67" s="12" t="n">
        <v>1.46</v>
      </c>
      <c r="Q67" s="12" t="n">
        <v>4.2</v>
      </c>
      <c r="R67" s="12" t="n">
        <v>0.79</v>
      </c>
      <c r="S67" s="12" t="n">
        <v>18</v>
      </c>
    </row>
    <row r="68" customFormat="false" ht="15" hidden="false" customHeight="false" outlineLevel="0" collapsed="false">
      <c r="A68" s="5" t="s">
        <v>109</v>
      </c>
      <c r="B68" s="5" t="s">
        <v>38</v>
      </c>
      <c r="C68" s="6" t="s">
        <v>39</v>
      </c>
      <c r="D68" s="6" t="n">
        <v>30</v>
      </c>
      <c r="E68" s="6" t="n">
        <v>28</v>
      </c>
      <c r="F68" s="6" t="n">
        <v>2</v>
      </c>
      <c r="G68" s="6" t="n">
        <v>0.706</v>
      </c>
      <c r="H68" s="6" t="n">
        <v>20</v>
      </c>
      <c r="I68" s="6" t="n">
        <v>9</v>
      </c>
      <c r="J68" s="7" t="n">
        <v>1</v>
      </c>
      <c r="K68" s="6" t="n">
        <v>3</v>
      </c>
      <c r="L68" s="13" t="s">
        <v>20</v>
      </c>
      <c r="M68" s="6" t="n">
        <v>0.39</v>
      </c>
      <c r="N68" s="6" t="n">
        <v>1.5</v>
      </c>
      <c r="O68" s="6" t="n">
        <v>0</v>
      </c>
      <c r="P68" s="6" t="n">
        <v>1.86</v>
      </c>
      <c r="Q68" s="6" t="n">
        <v>6.8</v>
      </c>
      <c r="R68" s="6" t="n">
        <v>0.842</v>
      </c>
      <c r="S68" s="6" t="n">
        <v>28</v>
      </c>
    </row>
    <row r="69" customFormat="false" ht="15" hidden="false" customHeight="false" outlineLevel="0" collapsed="false">
      <c r="A69" s="11" t="s">
        <v>110</v>
      </c>
      <c r="B69" s="11" t="s">
        <v>18</v>
      </c>
      <c r="C69" s="12" t="s">
        <v>19</v>
      </c>
      <c r="D69" s="12" t="n">
        <v>38</v>
      </c>
      <c r="E69" s="12" t="n">
        <v>32</v>
      </c>
      <c r="F69" s="12" t="n">
        <v>6</v>
      </c>
      <c r="G69" s="12" t="n">
        <v>0.776</v>
      </c>
      <c r="H69" s="12" t="n">
        <v>25</v>
      </c>
      <c r="I69" s="12" t="n">
        <v>5</v>
      </c>
      <c r="J69" s="7" t="n">
        <v>8</v>
      </c>
      <c r="K69" s="12" t="n">
        <v>7</v>
      </c>
      <c r="L69" s="13" t="s">
        <v>20</v>
      </c>
      <c r="M69" s="12" t="n">
        <v>0.23</v>
      </c>
      <c r="N69" s="12" t="n">
        <v>-1.5</v>
      </c>
      <c r="O69" s="12" t="n">
        <v>0</v>
      </c>
      <c r="P69" s="12" t="n">
        <v>1.84</v>
      </c>
      <c r="Q69" s="12" t="n">
        <v>7.3</v>
      </c>
      <c r="R69" s="12" t="n">
        <v>0.607</v>
      </c>
      <c r="S69" s="12" t="n">
        <v>30</v>
      </c>
    </row>
    <row r="70" customFormat="false" ht="15" hidden="false" customHeight="false" outlineLevel="0" collapsed="false">
      <c r="A70" s="5" t="s">
        <v>111</v>
      </c>
      <c r="B70" s="5" t="s">
        <v>32</v>
      </c>
      <c r="C70" s="6" t="s">
        <v>33</v>
      </c>
      <c r="D70" s="6" t="n">
        <v>21</v>
      </c>
      <c r="E70" s="6" t="n">
        <v>19</v>
      </c>
      <c r="F70" s="6" t="n">
        <v>2</v>
      </c>
      <c r="G70" s="6" t="n">
        <v>0.683</v>
      </c>
      <c r="H70" s="6" t="n">
        <v>13</v>
      </c>
      <c r="I70" s="6" t="n">
        <v>5</v>
      </c>
      <c r="J70" s="7" t="n">
        <v>3</v>
      </c>
      <c r="K70" s="6" t="n">
        <v>2</v>
      </c>
      <c r="L70" s="13" t="s">
        <v>20</v>
      </c>
      <c r="M70" s="6" t="n">
        <v>2.74</v>
      </c>
      <c r="N70" s="6" t="n">
        <v>0</v>
      </c>
      <c r="O70" s="6" t="n">
        <v>0</v>
      </c>
      <c r="P70" s="6" t="n">
        <v>1.02</v>
      </c>
      <c r="Q70" s="6" t="n">
        <v>8.1</v>
      </c>
      <c r="R70" s="6" t="n">
        <v>0.902</v>
      </c>
      <c r="S70" s="6" t="n">
        <v>16</v>
      </c>
    </row>
    <row r="71" customFormat="false" ht="15" hidden="false" customHeight="false" outlineLevel="0" collapsed="false">
      <c r="A71" s="11" t="s">
        <v>112</v>
      </c>
      <c r="B71" s="11" t="s">
        <v>23</v>
      </c>
      <c r="C71" s="12" t="s">
        <v>24</v>
      </c>
      <c r="D71" s="12" t="n">
        <v>23</v>
      </c>
      <c r="E71" s="12" t="n">
        <v>22</v>
      </c>
      <c r="F71" s="12" t="n">
        <v>1</v>
      </c>
      <c r="G71" s="12" t="n">
        <v>0.743</v>
      </c>
      <c r="H71" s="12" t="n">
        <v>16</v>
      </c>
      <c r="I71" s="12" t="n">
        <v>15</v>
      </c>
      <c r="J71" s="13" t="n">
        <v>0</v>
      </c>
      <c r="K71" s="12" t="n">
        <v>1</v>
      </c>
      <c r="L71" s="13" t="s">
        <v>20</v>
      </c>
      <c r="M71" s="12" t="n">
        <v>3.63</v>
      </c>
      <c r="N71" s="12" t="n">
        <v>-1.5</v>
      </c>
      <c r="O71" s="12" t="n">
        <v>0</v>
      </c>
      <c r="P71" s="12" t="n">
        <v>2.15</v>
      </c>
      <c r="Q71" s="12" t="n">
        <v>7.1</v>
      </c>
      <c r="R71" s="12" t="n">
        <v>0.932</v>
      </c>
      <c r="S71" s="12" t="n">
        <v>30</v>
      </c>
    </row>
    <row r="72" customFormat="false" ht="15" hidden="false" customHeight="false" outlineLevel="0" collapsed="false">
      <c r="A72" s="5" t="s">
        <v>113</v>
      </c>
      <c r="B72" s="5" t="s">
        <v>55</v>
      </c>
      <c r="C72" s="6" t="s">
        <v>56</v>
      </c>
      <c r="D72" s="6" t="n">
        <v>29</v>
      </c>
      <c r="E72" s="6" t="n">
        <v>26</v>
      </c>
      <c r="F72" s="6" t="n">
        <v>3</v>
      </c>
      <c r="G72" s="6" t="n">
        <v>0.65</v>
      </c>
      <c r="H72" s="6" t="n">
        <v>17</v>
      </c>
      <c r="I72" s="6" t="n">
        <v>9</v>
      </c>
      <c r="J72" s="7" t="n">
        <v>3</v>
      </c>
      <c r="K72" s="6" t="n">
        <v>2</v>
      </c>
      <c r="L72" s="13" t="s">
        <v>20</v>
      </c>
      <c r="M72" s="6" t="n">
        <v>-0.21</v>
      </c>
      <c r="N72" s="6" t="n">
        <v>-1.5</v>
      </c>
      <c r="O72" s="6" t="n">
        <v>0</v>
      </c>
      <c r="P72" s="6" t="n">
        <v>1.25</v>
      </c>
      <c r="Q72" s="6" t="n">
        <v>6.1</v>
      </c>
      <c r="R72" s="6" t="n">
        <v>0.879</v>
      </c>
      <c r="S72" s="6" t="n">
        <v>15</v>
      </c>
    </row>
    <row r="73" customFormat="false" ht="15" hidden="false" customHeight="false" outlineLevel="0" collapsed="false">
      <c r="A73" s="11" t="s">
        <v>114</v>
      </c>
      <c r="B73" s="11" t="s">
        <v>55</v>
      </c>
      <c r="C73" s="12" t="s">
        <v>56</v>
      </c>
      <c r="D73" s="12" t="n">
        <v>43</v>
      </c>
      <c r="E73" s="12" t="n">
        <v>36</v>
      </c>
      <c r="F73" s="12" t="n">
        <v>7</v>
      </c>
      <c r="G73" s="12" t="n">
        <v>0.675</v>
      </c>
      <c r="H73" s="12" t="n">
        <v>24</v>
      </c>
      <c r="I73" s="12" t="n">
        <v>16</v>
      </c>
      <c r="J73" s="7" t="n">
        <v>3</v>
      </c>
      <c r="K73" s="12" t="n">
        <v>8</v>
      </c>
      <c r="L73" s="13" t="s">
        <v>20</v>
      </c>
      <c r="M73" s="12" t="n">
        <v>7.57</v>
      </c>
      <c r="N73" s="12" t="n">
        <v>3</v>
      </c>
      <c r="O73" s="12" t="n">
        <v>0.8</v>
      </c>
      <c r="P73" s="12" t="n">
        <v>1.29</v>
      </c>
      <c r="Q73" s="12" t="n">
        <v>5.8</v>
      </c>
      <c r="R73" s="12" t="n">
        <v>0.878</v>
      </c>
      <c r="S73" s="12" t="n">
        <v>16</v>
      </c>
    </row>
    <row r="74" customFormat="false" ht="15" hidden="false" customHeight="false" outlineLevel="0" collapsed="false">
      <c r="A74" s="5" t="s">
        <v>115</v>
      </c>
      <c r="B74" s="5" t="s">
        <v>18</v>
      </c>
      <c r="C74" s="6" t="s">
        <v>19</v>
      </c>
      <c r="D74" s="6" t="n">
        <v>37</v>
      </c>
      <c r="E74" s="6" t="n">
        <v>34</v>
      </c>
      <c r="F74" s="6" t="n">
        <v>3</v>
      </c>
      <c r="G74" s="6" t="n">
        <v>0.609</v>
      </c>
      <c r="H74" s="6" t="n">
        <v>21</v>
      </c>
      <c r="I74" s="6" t="n">
        <v>17</v>
      </c>
      <c r="J74" s="13" t="n">
        <v>0</v>
      </c>
      <c r="K74" s="6" t="n">
        <v>2</v>
      </c>
      <c r="L74" s="13" t="s">
        <v>20</v>
      </c>
      <c r="M74" s="6" t="n">
        <v>1.17</v>
      </c>
      <c r="N74" s="6" t="n">
        <v>0</v>
      </c>
      <c r="O74" s="6" t="n">
        <v>0</v>
      </c>
      <c r="P74" s="6" t="n">
        <v>1.85</v>
      </c>
      <c r="Q74" s="6" t="n">
        <v>9.3</v>
      </c>
      <c r="R74" s="6" t="n">
        <v>0.602</v>
      </c>
      <c r="S74" s="6" t="n">
        <v>29</v>
      </c>
    </row>
    <row r="75" customFormat="false" ht="15" hidden="false" customHeight="false" outlineLevel="0" collapsed="false">
      <c r="A75" s="11" t="s">
        <v>116</v>
      </c>
      <c r="B75" s="11" t="s">
        <v>32</v>
      </c>
      <c r="C75" s="12" t="s">
        <v>33</v>
      </c>
      <c r="D75" s="12" t="n">
        <v>17</v>
      </c>
      <c r="E75" s="12" t="n">
        <v>11</v>
      </c>
      <c r="F75" s="12" t="n">
        <v>6</v>
      </c>
      <c r="G75" s="12" t="n">
        <v>0.743</v>
      </c>
      <c r="H75" s="12" t="n">
        <v>8</v>
      </c>
      <c r="I75" s="12" t="n">
        <v>17</v>
      </c>
      <c r="J75" s="13" t="n">
        <v>0</v>
      </c>
      <c r="K75" s="12" t="n">
        <v>5</v>
      </c>
      <c r="L75" s="13" t="s">
        <v>20</v>
      </c>
      <c r="M75" s="12" t="n">
        <v>1.06</v>
      </c>
      <c r="N75" s="12" t="n">
        <v>3</v>
      </c>
      <c r="O75" s="12" t="n">
        <v>0</v>
      </c>
      <c r="P75" s="12" t="n">
        <v>1.08</v>
      </c>
      <c r="Q75" s="12" t="n">
        <v>1.2</v>
      </c>
      <c r="R75" s="12" t="n">
        <v>0.905</v>
      </c>
      <c r="S75" s="12" t="n">
        <v>13</v>
      </c>
    </row>
    <row r="76" customFormat="false" ht="15" hidden="false" customHeight="false" outlineLevel="0" collapsed="false">
      <c r="A76" s="5" t="s">
        <v>117</v>
      </c>
      <c r="B76" s="5" t="s">
        <v>29</v>
      </c>
      <c r="C76" s="6" t="s">
        <v>30</v>
      </c>
      <c r="D76" s="6" t="n">
        <v>15</v>
      </c>
      <c r="E76" s="6" t="n">
        <v>17</v>
      </c>
      <c r="F76" s="6" t="n">
        <v>2</v>
      </c>
      <c r="G76" s="6" t="n">
        <v>0.645</v>
      </c>
      <c r="H76" s="6" t="n">
        <v>11</v>
      </c>
      <c r="I76" s="6" t="n">
        <v>6</v>
      </c>
      <c r="J76" s="13" t="n">
        <v>0</v>
      </c>
      <c r="K76" s="6" t="n">
        <v>3</v>
      </c>
      <c r="L76" s="13" t="s">
        <v>20</v>
      </c>
      <c r="M76" s="6" t="n">
        <v>0.87</v>
      </c>
      <c r="N76" s="6" t="n">
        <v>1.5</v>
      </c>
      <c r="O76" s="6" t="n">
        <v>0</v>
      </c>
      <c r="P76" s="6" t="n">
        <v>1.34</v>
      </c>
      <c r="Q76" s="6" t="n">
        <v>-0.5</v>
      </c>
      <c r="R76" s="6" t="n">
        <v>0.914</v>
      </c>
      <c r="S76" s="6" t="n">
        <v>21</v>
      </c>
    </row>
    <row r="77" customFormat="false" ht="15" hidden="false" customHeight="false" outlineLevel="0" collapsed="false">
      <c r="A77" s="11" t="s">
        <v>118</v>
      </c>
      <c r="B77" s="11" t="s">
        <v>42</v>
      </c>
      <c r="C77" s="12" t="s">
        <v>43</v>
      </c>
      <c r="D77" s="12" t="n">
        <v>31</v>
      </c>
      <c r="E77" s="12" t="n">
        <v>32</v>
      </c>
      <c r="F77" s="12" t="n">
        <v>1</v>
      </c>
      <c r="G77" s="12" t="n">
        <v>0.606</v>
      </c>
      <c r="H77" s="12" t="n">
        <v>19</v>
      </c>
      <c r="I77" s="12" t="n">
        <v>15</v>
      </c>
      <c r="J77" s="13" t="n">
        <v>0</v>
      </c>
      <c r="K77" s="12" t="n">
        <v>0</v>
      </c>
      <c r="L77" s="13" t="s">
        <v>20</v>
      </c>
      <c r="M77" s="12" t="n">
        <v>1.9</v>
      </c>
      <c r="N77" s="12" t="n">
        <v>-1.5</v>
      </c>
      <c r="O77" s="12" t="n">
        <v>0</v>
      </c>
      <c r="P77" s="12" t="n">
        <v>0.92</v>
      </c>
      <c r="Q77" s="12" t="n">
        <v>-0.8</v>
      </c>
      <c r="R77" s="12" t="n">
        <v>0.656</v>
      </c>
      <c r="S77" s="12" t="n">
        <v>14</v>
      </c>
    </row>
    <row r="78" customFormat="false" ht="15" hidden="false" customHeight="false" outlineLevel="0" collapsed="false">
      <c r="A78" s="5" t="s">
        <v>119</v>
      </c>
      <c r="B78" s="5" t="s">
        <v>42</v>
      </c>
      <c r="C78" s="6" t="s">
        <v>43</v>
      </c>
      <c r="D78" s="6" t="n">
        <v>33</v>
      </c>
      <c r="E78" s="6" t="n">
        <v>30</v>
      </c>
      <c r="F78" s="6" t="n">
        <v>3</v>
      </c>
      <c r="G78" s="6" t="n">
        <v>0.659</v>
      </c>
      <c r="H78" s="6" t="n">
        <v>20</v>
      </c>
      <c r="I78" s="6" t="n">
        <v>15</v>
      </c>
      <c r="J78" s="13" t="n">
        <v>0</v>
      </c>
      <c r="K78" s="6" t="n">
        <v>3</v>
      </c>
      <c r="L78" s="13" t="s">
        <v>20</v>
      </c>
      <c r="M78" s="6" t="n">
        <v>0.23</v>
      </c>
      <c r="N78" s="6" t="n">
        <v>3</v>
      </c>
      <c r="O78" s="6" t="n">
        <v>0</v>
      </c>
      <c r="P78" s="6" t="n">
        <v>0.73</v>
      </c>
      <c r="Q78" s="6" t="n">
        <v>-0.8</v>
      </c>
      <c r="R78" s="6" t="n">
        <v>0.646</v>
      </c>
      <c r="S78" s="6" t="n">
        <v>12</v>
      </c>
    </row>
    <row r="79" customFormat="false" ht="15" hidden="false" customHeight="false" outlineLevel="0" collapsed="false">
      <c r="A79" s="11" t="s">
        <v>120</v>
      </c>
      <c r="B79" s="11" t="s">
        <v>42</v>
      </c>
      <c r="C79" s="12" t="s">
        <v>43</v>
      </c>
      <c r="D79" s="12" t="n">
        <v>37</v>
      </c>
      <c r="E79" s="12" t="n">
        <v>31</v>
      </c>
      <c r="F79" s="12" t="n">
        <v>6</v>
      </c>
      <c r="G79" s="12" t="n">
        <v>0.602</v>
      </c>
      <c r="H79" s="12" t="n">
        <v>19</v>
      </c>
      <c r="I79" s="12" t="n">
        <v>15</v>
      </c>
      <c r="J79" s="7" t="n">
        <v>3</v>
      </c>
      <c r="K79" s="12" t="n">
        <v>5</v>
      </c>
      <c r="L79" s="13" t="s">
        <v>20</v>
      </c>
      <c r="M79" s="12" t="n">
        <v>3.52</v>
      </c>
      <c r="N79" s="12" t="n">
        <v>0</v>
      </c>
      <c r="O79" s="12" t="n">
        <v>0</v>
      </c>
      <c r="P79" s="12" t="n">
        <v>0.97</v>
      </c>
      <c r="Q79" s="12" t="n">
        <v>1.1</v>
      </c>
      <c r="R79" s="12" t="n">
        <v>0.646</v>
      </c>
      <c r="S79" s="12" t="n">
        <v>14</v>
      </c>
    </row>
    <row r="80" customFormat="false" ht="15" hidden="false" customHeight="false" outlineLevel="0" collapsed="false">
      <c r="A80" s="5" t="s">
        <v>121</v>
      </c>
      <c r="B80" s="5" t="s">
        <v>42</v>
      </c>
      <c r="C80" s="6" t="s">
        <v>43</v>
      </c>
      <c r="D80" s="6" t="n">
        <v>35</v>
      </c>
      <c r="E80" s="6" t="n">
        <v>33</v>
      </c>
      <c r="F80" s="6" t="n">
        <v>2</v>
      </c>
      <c r="G80" s="6" t="n">
        <v>0.711</v>
      </c>
      <c r="H80" s="6" t="n">
        <v>23</v>
      </c>
      <c r="I80" s="6" t="n">
        <v>15</v>
      </c>
      <c r="J80" s="13" t="n">
        <v>0</v>
      </c>
      <c r="K80" s="6" t="n">
        <v>1</v>
      </c>
      <c r="L80" s="13" t="s">
        <v>20</v>
      </c>
      <c r="M80" s="6" t="n">
        <v>-0.29</v>
      </c>
      <c r="N80" s="6" t="n">
        <v>0</v>
      </c>
      <c r="O80" s="6" t="n">
        <v>0.8</v>
      </c>
      <c r="P80" s="6" t="n">
        <v>2.24</v>
      </c>
      <c r="Q80" s="6" t="n">
        <v>2.3</v>
      </c>
      <c r="R80" s="6" t="n">
        <v>0.647</v>
      </c>
      <c r="S80" s="6" t="n">
        <v>30</v>
      </c>
    </row>
    <row r="81" customFormat="false" ht="15" hidden="false" customHeight="false" outlineLevel="0" collapsed="false">
      <c r="A81" s="11" t="s">
        <v>122</v>
      </c>
      <c r="B81" s="11" t="s">
        <v>55</v>
      </c>
      <c r="C81" s="12" t="s">
        <v>56</v>
      </c>
      <c r="D81" s="12" t="n">
        <v>27</v>
      </c>
      <c r="E81" s="12" t="n">
        <v>25</v>
      </c>
      <c r="F81" s="12" t="n">
        <v>2</v>
      </c>
      <c r="G81" s="12" t="n">
        <v>0.674</v>
      </c>
      <c r="H81" s="12" t="n">
        <v>17</v>
      </c>
      <c r="I81" s="12" t="n">
        <v>10</v>
      </c>
      <c r="J81" s="13" t="n">
        <v>0</v>
      </c>
      <c r="K81" s="12" t="n">
        <v>3</v>
      </c>
      <c r="L81" s="13" t="s">
        <v>20</v>
      </c>
      <c r="M81" s="12" t="n">
        <v>-0.19</v>
      </c>
      <c r="N81" s="12" t="n">
        <v>-1.5</v>
      </c>
      <c r="O81" s="12" t="n">
        <v>0</v>
      </c>
      <c r="P81" s="12" t="n">
        <v>2.04</v>
      </c>
      <c r="Q81" s="12" t="n">
        <v>2.3</v>
      </c>
      <c r="R81" s="12" t="n">
        <v>0.878</v>
      </c>
      <c r="S81" s="12" t="n">
        <v>29</v>
      </c>
    </row>
    <row r="82" customFormat="false" ht="15" hidden="false" customHeight="false" outlineLevel="0" collapsed="false">
      <c r="A82" s="5" t="s">
        <v>123</v>
      </c>
      <c r="B82" s="5" t="s">
        <v>23</v>
      </c>
      <c r="C82" s="6" t="s">
        <v>24</v>
      </c>
      <c r="D82" s="6" t="n">
        <v>14</v>
      </c>
      <c r="E82" s="6" t="n">
        <v>13</v>
      </c>
      <c r="F82" s="6" t="n">
        <v>1</v>
      </c>
      <c r="G82" s="6" t="n">
        <v>0.7</v>
      </c>
      <c r="H82" s="6" t="n">
        <v>9</v>
      </c>
      <c r="I82" s="6" t="n">
        <v>10</v>
      </c>
      <c r="J82" s="13" t="n">
        <v>0</v>
      </c>
      <c r="K82" s="6" t="n">
        <v>0</v>
      </c>
      <c r="L82" s="13" t="s">
        <v>20</v>
      </c>
      <c r="M82" s="6" t="n">
        <v>0.31</v>
      </c>
      <c r="N82" s="6" t="n">
        <v>0</v>
      </c>
      <c r="O82" s="6" t="n">
        <v>0</v>
      </c>
      <c r="P82" s="6" t="n">
        <v>1.7</v>
      </c>
      <c r="Q82" s="6" t="n">
        <v>-0.8</v>
      </c>
      <c r="R82" s="6" t="n">
        <v>0.932</v>
      </c>
      <c r="S82" s="6" t="n">
        <v>23</v>
      </c>
    </row>
    <row r="83" customFormat="false" ht="15" hidden="false" customHeight="false" outlineLevel="0" collapsed="false">
      <c r="A83" s="11" t="s">
        <v>124</v>
      </c>
      <c r="B83" s="11" t="s">
        <v>84</v>
      </c>
      <c r="C83" s="12" t="s">
        <v>85</v>
      </c>
      <c r="D83" s="12" t="n">
        <v>21</v>
      </c>
      <c r="E83" s="12" t="n">
        <v>21</v>
      </c>
      <c r="F83" s="12" t="n">
        <v>0</v>
      </c>
      <c r="G83" s="12" t="n">
        <v>0.644</v>
      </c>
      <c r="H83" s="12" t="n">
        <v>14</v>
      </c>
      <c r="I83" s="12" t="n">
        <v>14</v>
      </c>
      <c r="J83" s="13" t="n">
        <v>0</v>
      </c>
      <c r="K83" s="12" t="n">
        <v>1</v>
      </c>
      <c r="L83" s="13" t="s">
        <v>20</v>
      </c>
      <c r="M83" s="12" t="n">
        <v>4.51</v>
      </c>
      <c r="N83" s="12" t="n">
        <v>-3</v>
      </c>
      <c r="O83" s="12" t="n">
        <v>0</v>
      </c>
      <c r="P83" s="12" t="n">
        <v>1.21</v>
      </c>
      <c r="Q83" s="12" t="n">
        <v>2.1</v>
      </c>
      <c r="R83" s="12" t="n">
        <v>0.725</v>
      </c>
      <c r="S83" s="12" t="n">
        <v>15</v>
      </c>
    </row>
    <row r="84" customFormat="false" ht="15" hidden="false" customHeight="false" outlineLevel="0" collapsed="false">
      <c r="A84" s="5" t="s">
        <v>125</v>
      </c>
      <c r="B84" s="5" t="s">
        <v>42</v>
      </c>
      <c r="C84" s="6" t="s">
        <v>43</v>
      </c>
      <c r="D84" s="6" t="n">
        <v>37</v>
      </c>
      <c r="E84" s="6" t="n">
        <v>37</v>
      </c>
      <c r="F84" s="6" t="n">
        <v>0</v>
      </c>
      <c r="G84" s="6" t="n">
        <v>0.697</v>
      </c>
      <c r="H84" s="6" t="n">
        <v>26</v>
      </c>
      <c r="I84" s="6" t="n">
        <v>11</v>
      </c>
      <c r="J84" s="13" t="n">
        <v>0</v>
      </c>
      <c r="K84" s="6" t="n">
        <v>0</v>
      </c>
      <c r="L84" s="13" t="s">
        <v>20</v>
      </c>
      <c r="M84" s="6" t="n">
        <v>6.89</v>
      </c>
      <c r="N84" s="6" t="n">
        <v>-3</v>
      </c>
      <c r="O84" s="6" t="n">
        <v>0</v>
      </c>
      <c r="P84" s="6" t="n">
        <v>0.95</v>
      </c>
      <c r="Q84" s="6" t="n">
        <v>1</v>
      </c>
      <c r="R84" s="6" t="n">
        <v>0.645</v>
      </c>
      <c r="S84" s="6" t="n">
        <v>9</v>
      </c>
    </row>
    <row r="85" customFormat="false" ht="15" hidden="false" customHeight="false" outlineLevel="0" collapsed="false">
      <c r="A85" s="11" t="s">
        <v>126</v>
      </c>
      <c r="B85" s="11" t="s">
        <v>47</v>
      </c>
      <c r="C85" s="12" t="s">
        <v>48</v>
      </c>
      <c r="D85" s="12" t="n">
        <v>32</v>
      </c>
      <c r="E85" s="12" t="n">
        <v>27</v>
      </c>
      <c r="F85" s="12" t="n">
        <v>5</v>
      </c>
      <c r="G85" s="12" t="n">
        <v>0.612</v>
      </c>
      <c r="H85" s="12" t="n">
        <v>17</v>
      </c>
      <c r="I85" s="12" t="n">
        <v>9</v>
      </c>
      <c r="J85" s="7" t="n">
        <v>6</v>
      </c>
      <c r="K85" s="12" t="n">
        <v>4</v>
      </c>
      <c r="L85" s="13" t="s">
        <v>20</v>
      </c>
      <c r="M85" s="12" t="n">
        <v>3.16</v>
      </c>
      <c r="N85" s="12" t="n">
        <v>3</v>
      </c>
      <c r="O85" s="12" t="n">
        <v>0</v>
      </c>
      <c r="P85" s="12" t="n">
        <v>1.69</v>
      </c>
      <c r="Q85" s="12" t="n">
        <v>2.6</v>
      </c>
      <c r="R85" s="12" t="n">
        <v>0.791</v>
      </c>
      <c r="S85" s="12" t="n">
        <v>25</v>
      </c>
    </row>
    <row r="86" customFormat="false" ht="15" hidden="false" customHeight="false" outlineLevel="0" collapsed="false">
      <c r="A86" s="5" t="s">
        <v>127</v>
      </c>
      <c r="B86" s="5" t="s">
        <v>47</v>
      </c>
      <c r="C86" s="6" t="s">
        <v>48</v>
      </c>
      <c r="D86" s="6" t="n">
        <v>31</v>
      </c>
      <c r="E86" s="6" t="n">
        <v>24</v>
      </c>
      <c r="F86" s="6" t="n">
        <v>7</v>
      </c>
      <c r="G86" s="6" t="n">
        <v>0.749</v>
      </c>
      <c r="H86" s="6" t="n">
        <v>18</v>
      </c>
      <c r="I86" s="6" t="n">
        <v>14</v>
      </c>
      <c r="J86" s="13" t="n">
        <v>0</v>
      </c>
      <c r="K86" s="6" t="n">
        <v>6</v>
      </c>
      <c r="L86" s="13" t="s">
        <v>20</v>
      </c>
      <c r="M86" s="6" t="n">
        <v>2.68</v>
      </c>
      <c r="N86" s="6" t="n">
        <v>3</v>
      </c>
      <c r="O86" s="6" t="n">
        <v>0.8</v>
      </c>
      <c r="P86" s="6" t="n">
        <v>1.43</v>
      </c>
      <c r="Q86" s="6" t="n">
        <v>2.4</v>
      </c>
      <c r="R86" s="6" t="n">
        <v>0.79</v>
      </c>
      <c r="S86" s="6" t="n">
        <v>18</v>
      </c>
    </row>
    <row r="87" customFormat="false" ht="15" hidden="false" customHeight="false" outlineLevel="0" collapsed="false">
      <c r="A87" s="11" t="s">
        <v>128</v>
      </c>
      <c r="B87" s="11" t="s">
        <v>47</v>
      </c>
      <c r="C87" s="12" t="s">
        <v>48</v>
      </c>
      <c r="D87" s="12" t="n">
        <v>29</v>
      </c>
      <c r="E87" s="12" t="n">
        <v>25</v>
      </c>
      <c r="F87" s="12" t="n">
        <v>4</v>
      </c>
      <c r="G87" s="12" t="n">
        <v>0.691</v>
      </c>
      <c r="H87" s="12" t="n">
        <v>17</v>
      </c>
      <c r="I87" s="12" t="n">
        <v>11</v>
      </c>
      <c r="J87" s="7" t="n">
        <v>1</v>
      </c>
      <c r="K87" s="12" t="n">
        <v>3</v>
      </c>
      <c r="L87" s="13" t="s">
        <v>20</v>
      </c>
      <c r="M87" s="12" t="n">
        <v>2.36</v>
      </c>
      <c r="N87" s="12" t="n">
        <v>1.5</v>
      </c>
      <c r="O87" s="12" t="n">
        <v>0.8</v>
      </c>
      <c r="P87" s="12" t="n">
        <v>2.52</v>
      </c>
      <c r="Q87" s="12" t="n">
        <v>-0.5</v>
      </c>
      <c r="R87" s="12" t="n">
        <v>0.794</v>
      </c>
      <c r="S87" s="12" t="n">
        <v>35</v>
      </c>
    </row>
    <row r="88" customFormat="false" ht="15" hidden="false" customHeight="false" outlineLevel="0" collapsed="false">
      <c r="A88" s="5" t="s">
        <v>129</v>
      </c>
      <c r="B88" s="5" t="s">
        <v>29</v>
      </c>
      <c r="C88" s="6" t="s">
        <v>30</v>
      </c>
      <c r="D88" s="6" t="n">
        <v>23</v>
      </c>
      <c r="E88" s="6" t="n">
        <v>19</v>
      </c>
      <c r="F88" s="6" t="n">
        <v>4</v>
      </c>
      <c r="G88" s="6" t="n">
        <v>0.678</v>
      </c>
      <c r="H88" s="6" t="n">
        <v>13</v>
      </c>
      <c r="I88" s="6" t="n">
        <v>7</v>
      </c>
      <c r="J88" s="7" t="n">
        <v>3</v>
      </c>
      <c r="K88" s="6" t="n">
        <v>5</v>
      </c>
      <c r="L88" s="13" t="s">
        <v>20</v>
      </c>
      <c r="M88" s="6" t="n">
        <v>2.51</v>
      </c>
      <c r="N88" s="6" t="n">
        <v>3</v>
      </c>
      <c r="O88" s="6" t="n">
        <v>0</v>
      </c>
      <c r="P88" s="6" t="n">
        <v>0.77</v>
      </c>
      <c r="Q88" s="6" t="n">
        <v>2.6</v>
      </c>
      <c r="R88" s="6" t="n">
        <v>0.917</v>
      </c>
      <c r="S88" s="6" t="n">
        <v>11</v>
      </c>
    </row>
    <row r="89" customFormat="false" ht="15" hidden="false" customHeight="false" outlineLevel="0" collapsed="false">
      <c r="A89" s="11" t="s">
        <v>130</v>
      </c>
      <c r="B89" s="11" t="s">
        <v>55</v>
      </c>
      <c r="C89" s="12" t="s">
        <v>56</v>
      </c>
      <c r="D89" s="12" t="n">
        <v>31</v>
      </c>
      <c r="E89" s="12" t="n">
        <v>29</v>
      </c>
      <c r="F89" s="12" t="n">
        <v>2</v>
      </c>
      <c r="G89" s="12" t="n">
        <v>0.762</v>
      </c>
      <c r="H89" s="12" t="n">
        <v>22</v>
      </c>
      <c r="I89" s="12" t="n">
        <v>9</v>
      </c>
      <c r="J89" s="13" t="n">
        <v>0</v>
      </c>
      <c r="K89" s="12" t="n">
        <v>1</v>
      </c>
      <c r="L89" s="13" t="s">
        <v>20</v>
      </c>
      <c r="M89" s="12" t="n">
        <v>-0.1</v>
      </c>
      <c r="N89" s="12" t="n">
        <v>1.5</v>
      </c>
      <c r="O89" s="12" t="n">
        <v>0</v>
      </c>
      <c r="P89" s="12" t="n">
        <v>1.47</v>
      </c>
      <c r="Q89" s="12" t="n">
        <v>1</v>
      </c>
      <c r="R89" s="12" t="n">
        <v>0.88</v>
      </c>
      <c r="S89" s="12" t="n">
        <v>20</v>
      </c>
    </row>
    <row r="90" customFormat="false" ht="15" hidden="false" customHeight="false" outlineLevel="0" collapsed="false">
      <c r="A90" s="5" t="s">
        <v>131</v>
      </c>
      <c r="B90" s="5" t="s">
        <v>32</v>
      </c>
      <c r="C90" s="6" t="s">
        <v>33</v>
      </c>
      <c r="D90" s="6" t="n">
        <v>19</v>
      </c>
      <c r="E90" s="6" t="n">
        <v>16</v>
      </c>
      <c r="F90" s="6" t="n">
        <v>3</v>
      </c>
      <c r="G90" s="6" t="n">
        <v>0.603</v>
      </c>
      <c r="H90" s="6" t="n">
        <v>10</v>
      </c>
      <c r="I90" s="6" t="n">
        <v>8</v>
      </c>
      <c r="J90" s="7" t="n">
        <v>1</v>
      </c>
      <c r="K90" s="6" t="n">
        <v>4</v>
      </c>
      <c r="L90" s="13" t="s">
        <v>20</v>
      </c>
      <c r="M90" s="6" t="n">
        <v>6.88</v>
      </c>
      <c r="N90" s="6" t="n">
        <v>0</v>
      </c>
      <c r="O90" s="6" t="n">
        <v>0</v>
      </c>
      <c r="P90" s="6" t="n">
        <v>2.48</v>
      </c>
      <c r="Q90" s="6" t="n">
        <v>0.6</v>
      </c>
      <c r="R90" s="6" t="n">
        <v>0.909</v>
      </c>
      <c r="S90" s="6" t="n">
        <v>34</v>
      </c>
    </row>
    <row r="91" customFormat="false" ht="15" hidden="false" customHeight="false" outlineLevel="0" collapsed="false">
      <c r="A91" s="11" t="s">
        <v>132</v>
      </c>
      <c r="B91" s="11" t="s">
        <v>29</v>
      </c>
      <c r="C91" s="12" t="s">
        <v>30</v>
      </c>
      <c r="D91" s="12" t="n">
        <v>24</v>
      </c>
      <c r="E91" s="12" t="n">
        <v>21</v>
      </c>
      <c r="F91" s="12" t="n">
        <v>3</v>
      </c>
      <c r="G91" s="12" t="n">
        <v>0.76</v>
      </c>
      <c r="H91" s="12" t="n">
        <v>16</v>
      </c>
      <c r="I91" s="12" t="n">
        <v>5</v>
      </c>
      <c r="J91" s="7" t="n">
        <v>3</v>
      </c>
      <c r="K91" s="12" t="n">
        <v>3</v>
      </c>
      <c r="L91" s="13" t="s">
        <v>20</v>
      </c>
      <c r="M91" s="12" t="n">
        <v>6.9</v>
      </c>
      <c r="N91" s="12" t="n">
        <v>1.5</v>
      </c>
      <c r="O91" s="12" t="n">
        <v>0</v>
      </c>
      <c r="P91" s="12" t="n">
        <v>1.05</v>
      </c>
      <c r="Q91" s="12" t="n">
        <v>1.5</v>
      </c>
      <c r="R91" s="12" t="n">
        <v>0.917</v>
      </c>
      <c r="S91" s="12" t="n">
        <v>17</v>
      </c>
    </row>
    <row r="92" customFormat="false" ht="15" hidden="false" customHeight="false" outlineLevel="0" collapsed="false">
      <c r="A92" s="5" t="s">
        <v>133</v>
      </c>
      <c r="B92" s="5" t="s">
        <v>47</v>
      </c>
      <c r="C92" s="6" t="s">
        <v>48</v>
      </c>
      <c r="D92" s="6" t="n">
        <v>23</v>
      </c>
      <c r="E92" s="6" t="n">
        <v>26</v>
      </c>
      <c r="F92" s="6" t="n">
        <v>3</v>
      </c>
      <c r="G92" s="6" t="n">
        <v>0.711</v>
      </c>
      <c r="H92" s="6" t="n">
        <v>18</v>
      </c>
      <c r="I92" s="6" t="n">
        <v>5</v>
      </c>
      <c r="J92" s="13" t="n">
        <v>0</v>
      </c>
      <c r="K92" s="6" t="n">
        <v>3</v>
      </c>
      <c r="L92" s="13" t="s">
        <v>20</v>
      </c>
      <c r="M92" s="6" t="n">
        <v>7.34</v>
      </c>
      <c r="N92" s="6" t="n">
        <v>-1.5</v>
      </c>
      <c r="O92" s="6" t="n">
        <v>0</v>
      </c>
      <c r="P92" s="6" t="n">
        <v>0.67</v>
      </c>
      <c r="Q92" s="6" t="n">
        <v>-0.7</v>
      </c>
      <c r="R92" s="6" t="n">
        <v>0.793</v>
      </c>
      <c r="S92" s="6" t="n">
        <v>6</v>
      </c>
    </row>
    <row r="93" customFormat="false" ht="15" hidden="false" customHeight="false" outlineLevel="0" collapsed="false">
      <c r="A93" s="11" t="s">
        <v>134</v>
      </c>
      <c r="B93" s="11" t="s">
        <v>55</v>
      </c>
      <c r="C93" s="12" t="s">
        <v>56</v>
      </c>
      <c r="D93" s="12" t="n">
        <v>39</v>
      </c>
      <c r="E93" s="12" t="n">
        <v>35</v>
      </c>
      <c r="F93" s="12" t="n">
        <v>4</v>
      </c>
      <c r="G93" s="12" t="n">
        <v>0.79</v>
      </c>
      <c r="H93" s="12" t="n">
        <v>28</v>
      </c>
      <c r="I93" s="12" t="n">
        <v>12</v>
      </c>
      <c r="J93" s="13" t="n">
        <v>0</v>
      </c>
      <c r="K93" s="12" t="n">
        <v>4</v>
      </c>
      <c r="L93" s="13" t="s">
        <v>20</v>
      </c>
      <c r="M93" s="12" t="n">
        <v>7.5</v>
      </c>
      <c r="N93" s="12" t="n">
        <v>3</v>
      </c>
      <c r="O93" s="12" t="n">
        <v>0</v>
      </c>
      <c r="P93" s="12" t="n">
        <v>2.77</v>
      </c>
      <c r="Q93" s="12" t="n">
        <v>0.7</v>
      </c>
      <c r="R93" s="12" t="n">
        <v>0.881</v>
      </c>
      <c r="S93" s="12" t="n">
        <v>38</v>
      </c>
    </row>
    <row r="94" customFormat="false" ht="15" hidden="false" customHeight="false" outlineLevel="0" collapsed="false">
      <c r="A94" s="5" t="s">
        <v>135</v>
      </c>
      <c r="B94" s="5" t="s">
        <v>47</v>
      </c>
      <c r="C94" s="6" t="s">
        <v>48</v>
      </c>
      <c r="D94" s="6" t="n">
        <v>23</v>
      </c>
      <c r="E94" s="6" t="n">
        <v>22</v>
      </c>
      <c r="F94" s="6" t="n">
        <v>1</v>
      </c>
      <c r="G94" s="6" t="n">
        <v>0.707</v>
      </c>
      <c r="H94" s="6" t="n">
        <v>16</v>
      </c>
      <c r="I94" s="6" t="n">
        <v>4</v>
      </c>
      <c r="J94" s="7" t="n">
        <v>3</v>
      </c>
      <c r="K94" s="6" t="n">
        <v>0</v>
      </c>
      <c r="L94" s="13" t="s">
        <v>20</v>
      </c>
      <c r="M94" s="6" t="n">
        <v>0.98</v>
      </c>
      <c r="N94" s="6" t="n">
        <v>-1.5</v>
      </c>
      <c r="O94" s="6" t="n">
        <v>0</v>
      </c>
      <c r="P94" s="6" t="n">
        <v>1.29</v>
      </c>
      <c r="Q94" s="6" t="n">
        <v>2.5</v>
      </c>
      <c r="R94" s="6" t="n">
        <v>0.795</v>
      </c>
      <c r="S94" s="6" t="n">
        <v>21</v>
      </c>
    </row>
    <row r="95" customFormat="false" ht="15" hidden="false" customHeight="false" outlineLevel="0" collapsed="false">
      <c r="A95" s="11" t="s">
        <v>136</v>
      </c>
      <c r="B95" s="11" t="s">
        <v>29</v>
      </c>
      <c r="C95" s="12" t="s">
        <v>30</v>
      </c>
      <c r="D95" s="12" t="n">
        <v>13</v>
      </c>
      <c r="E95" s="12" t="n">
        <v>16</v>
      </c>
      <c r="F95" s="12" t="n">
        <v>3</v>
      </c>
      <c r="G95" s="12" t="n">
        <v>0.631</v>
      </c>
      <c r="H95" s="12" t="n">
        <v>10</v>
      </c>
      <c r="I95" s="12" t="n">
        <v>16</v>
      </c>
      <c r="J95" s="13" t="n">
        <v>0</v>
      </c>
      <c r="K95" s="12" t="n">
        <v>2</v>
      </c>
      <c r="L95" s="13" t="s">
        <v>20</v>
      </c>
      <c r="M95" s="12" t="n">
        <v>-0.06</v>
      </c>
      <c r="N95" s="12" t="n">
        <v>-1.5</v>
      </c>
      <c r="O95" s="12" t="n">
        <v>0</v>
      </c>
      <c r="P95" s="12" t="n">
        <v>1</v>
      </c>
      <c r="Q95" s="12" t="n">
        <v>1.9</v>
      </c>
      <c r="R95" s="12" t="n">
        <v>0.921</v>
      </c>
      <c r="S95" s="12" t="n">
        <v>14</v>
      </c>
    </row>
    <row r="96" customFormat="false" ht="15" hidden="false" customHeight="false" outlineLevel="0" collapsed="false">
      <c r="A96" s="5" t="s">
        <v>137</v>
      </c>
      <c r="B96" s="5" t="s">
        <v>38</v>
      </c>
      <c r="C96" s="6" t="s">
        <v>39</v>
      </c>
      <c r="D96" s="6" t="n">
        <v>24</v>
      </c>
      <c r="E96" s="6" t="n">
        <v>25</v>
      </c>
      <c r="F96" s="6" t="n">
        <v>1</v>
      </c>
      <c r="G96" s="6" t="n">
        <v>0.62</v>
      </c>
      <c r="H96" s="6" t="n">
        <v>16</v>
      </c>
      <c r="I96" s="6" t="n">
        <v>8</v>
      </c>
      <c r="J96" s="13" t="n">
        <v>0</v>
      </c>
      <c r="K96" s="6" t="n">
        <v>2</v>
      </c>
      <c r="L96" s="13" t="s">
        <v>20</v>
      </c>
      <c r="M96" s="6" t="n">
        <v>0.09</v>
      </c>
      <c r="N96" s="6" t="n">
        <v>1.5</v>
      </c>
      <c r="O96" s="6" t="n">
        <v>0</v>
      </c>
      <c r="P96" s="6" t="n">
        <v>2.26</v>
      </c>
      <c r="Q96" s="6" t="n">
        <v>2.1</v>
      </c>
      <c r="R96" s="6" t="n">
        <v>0.845</v>
      </c>
      <c r="S96" s="6" t="n">
        <v>30</v>
      </c>
    </row>
    <row r="97" customFormat="false" ht="15" hidden="false" customHeight="false" outlineLevel="0" collapsed="false">
      <c r="A97" s="11" t="s">
        <v>138</v>
      </c>
      <c r="B97" s="11" t="s">
        <v>55</v>
      </c>
      <c r="C97" s="12" t="s">
        <v>56</v>
      </c>
      <c r="D97" s="12" t="n">
        <v>25</v>
      </c>
      <c r="E97" s="12" t="n">
        <v>29</v>
      </c>
      <c r="F97" s="12" t="n">
        <v>4</v>
      </c>
      <c r="G97" s="12" t="n">
        <v>0.74</v>
      </c>
      <c r="H97" s="12" t="n">
        <v>21</v>
      </c>
      <c r="I97" s="12" t="n">
        <v>15</v>
      </c>
      <c r="J97" s="13" t="n">
        <v>0</v>
      </c>
      <c r="K97" s="12" t="n">
        <v>4</v>
      </c>
      <c r="L97" s="13" t="s">
        <v>20</v>
      </c>
      <c r="M97" s="12" t="n">
        <v>0.02</v>
      </c>
      <c r="N97" s="12" t="n">
        <v>-3</v>
      </c>
      <c r="O97" s="12" t="n">
        <v>0</v>
      </c>
      <c r="P97" s="12" t="n">
        <v>2.02</v>
      </c>
      <c r="Q97" s="12" t="n">
        <v>2.7</v>
      </c>
      <c r="R97" s="12" t="n">
        <v>0.881</v>
      </c>
      <c r="S97" s="12" t="n">
        <v>29</v>
      </c>
    </row>
    <row r="98" customFormat="false" ht="15" hidden="false" customHeight="false" outlineLevel="0" collapsed="false">
      <c r="A98" s="5" t="s">
        <v>139</v>
      </c>
      <c r="B98" s="5" t="s">
        <v>84</v>
      </c>
      <c r="C98" s="6" t="s">
        <v>85</v>
      </c>
      <c r="D98" s="6" t="n">
        <v>26</v>
      </c>
      <c r="E98" s="6" t="n">
        <v>24</v>
      </c>
      <c r="F98" s="6" t="n">
        <v>2</v>
      </c>
      <c r="G98" s="6" t="n">
        <v>0.732</v>
      </c>
      <c r="H98" s="6" t="n">
        <v>18</v>
      </c>
      <c r="I98" s="6" t="n">
        <v>17</v>
      </c>
      <c r="J98" s="13" t="n">
        <v>0</v>
      </c>
      <c r="K98" s="6" t="n">
        <v>2</v>
      </c>
      <c r="L98" s="13" t="s">
        <v>20</v>
      </c>
      <c r="M98" s="6" t="n">
        <v>0.74</v>
      </c>
      <c r="N98" s="6" t="n">
        <v>-1.5</v>
      </c>
      <c r="O98" s="6" t="n">
        <v>0</v>
      </c>
      <c r="P98" s="6" t="n">
        <v>1.07</v>
      </c>
      <c r="Q98" s="6" t="n">
        <v>8</v>
      </c>
      <c r="R98" s="6" t="n">
        <v>0.721</v>
      </c>
      <c r="S98" s="6" t="n">
        <v>12</v>
      </c>
    </row>
    <row r="99" customFormat="false" ht="15" hidden="false" customHeight="false" outlineLevel="0" collapsed="false">
      <c r="A99" s="11" t="s">
        <v>140</v>
      </c>
      <c r="B99" s="11" t="s">
        <v>38</v>
      </c>
      <c r="C99" s="12" t="s">
        <v>39</v>
      </c>
      <c r="D99" s="12" t="n">
        <v>37</v>
      </c>
      <c r="E99" s="12" t="n">
        <v>30</v>
      </c>
      <c r="F99" s="12" t="n">
        <v>7</v>
      </c>
      <c r="G99" s="12" t="n">
        <v>0.758</v>
      </c>
      <c r="H99" s="12" t="n">
        <v>23</v>
      </c>
      <c r="I99" s="12" t="n">
        <v>11</v>
      </c>
      <c r="J99" s="7" t="n">
        <v>3</v>
      </c>
      <c r="K99" s="12" t="n">
        <v>7</v>
      </c>
      <c r="L99" s="13" t="s">
        <v>20</v>
      </c>
      <c r="M99" s="12" t="n">
        <v>4.35</v>
      </c>
      <c r="N99" s="12" t="n">
        <v>1.5</v>
      </c>
      <c r="O99" s="12" t="n">
        <v>0</v>
      </c>
      <c r="P99" s="12" t="n">
        <v>1.87</v>
      </c>
      <c r="Q99" s="12" t="n">
        <v>6.8</v>
      </c>
      <c r="R99" s="12" t="n">
        <v>0.847</v>
      </c>
      <c r="S99" s="12" t="n">
        <v>26</v>
      </c>
    </row>
    <row r="100" customFormat="false" ht="15" hidden="false" customHeight="false" outlineLevel="0" collapsed="false">
      <c r="A100" s="5" t="s">
        <v>141</v>
      </c>
      <c r="B100" s="5" t="s">
        <v>29</v>
      </c>
      <c r="C100" s="6" t="s">
        <v>30</v>
      </c>
      <c r="D100" s="6" t="n">
        <v>28</v>
      </c>
      <c r="E100" s="6" t="n">
        <v>20</v>
      </c>
      <c r="F100" s="6" t="n">
        <v>8</v>
      </c>
      <c r="G100" s="6" t="n">
        <v>0.607</v>
      </c>
      <c r="H100" s="6" t="n">
        <v>12</v>
      </c>
      <c r="I100" s="6" t="n">
        <v>11</v>
      </c>
      <c r="J100" s="7" t="n">
        <v>5</v>
      </c>
      <c r="K100" s="6" t="n">
        <v>7</v>
      </c>
      <c r="L100" s="13" t="s">
        <v>20</v>
      </c>
      <c r="M100" s="6" t="n">
        <v>2.46</v>
      </c>
      <c r="N100" s="6" t="n">
        <v>3</v>
      </c>
      <c r="O100" s="6" t="n">
        <v>0</v>
      </c>
      <c r="P100" s="6" t="n">
        <v>0.99</v>
      </c>
      <c r="Q100" s="6" t="n">
        <v>8.5</v>
      </c>
      <c r="R100" s="6" t="n">
        <v>0.921</v>
      </c>
      <c r="S100" s="6" t="n">
        <v>15</v>
      </c>
    </row>
    <row r="101" customFormat="false" ht="15" hidden="false" customHeight="false" outlineLevel="0" collapsed="false">
      <c r="A101" s="11" t="s">
        <v>142</v>
      </c>
      <c r="B101" s="11" t="s">
        <v>84</v>
      </c>
      <c r="C101" s="12" t="s">
        <v>85</v>
      </c>
      <c r="D101" s="12" t="n">
        <v>24</v>
      </c>
      <c r="E101" s="12" t="n">
        <v>20</v>
      </c>
      <c r="F101" s="12" t="n">
        <v>4</v>
      </c>
      <c r="G101" s="12" t="n">
        <v>0.623</v>
      </c>
      <c r="H101" s="12" t="n">
        <v>12</v>
      </c>
      <c r="I101" s="12" t="n">
        <v>7</v>
      </c>
      <c r="J101" s="7" t="n">
        <v>5</v>
      </c>
      <c r="K101" s="12" t="n">
        <v>5</v>
      </c>
      <c r="L101" s="13" t="s">
        <v>20</v>
      </c>
      <c r="M101" s="12" t="n">
        <v>0.14</v>
      </c>
      <c r="N101" s="12" t="n">
        <v>-1.5</v>
      </c>
      <c r="O101" s="12" t="n">
        <v>0</v>
      </c>
      <c r="P101" s="12" t="n">
        <v>1.84</v>
      </c>
      <c r="Q101" s="12" t="n">
        <v>8.7</v>
      </c>
      <c r="R101" s="12" t="n">
        <v>0.719</v>
      </c>
      <c r="S101" s="12" t="n">
        <v>29</v>
      </c>
    </row>
    <row r="102" customFormat="false" ht="15" hidden="false" customHeight="false" outlineLevel="0" collapsed="false">
      <c r="A102" s="5" t="s">
        <v>143</v>
      </c>
      <c r="B102" s="5" t="s">
        <v>47</v>
      </c>
      <c r="C102" s="6" t="s">
        <v>48</v>
      </c>
      <c r="D102" s="6" t="n">
        <v>32</v>
      </c>
      <c r="E102" s="6" t="n">
        <v>28</v>
      </c>
      <c r="F102" s="6" t="n">
        <v>4</v>
      </c>
      <c r="G102" s="6" t="n">
        <v>0.713</v>
      </c>
      <c r="H102" s="6" t="n">
        <v>20</v>
      </c>
      <c r="I102" s="6" t="n">
        <v>10</v>
      </c>
      <c r="J102" s="7" t="n">
        <v>2</v>
      </c>
      <c r="K102" s="6" t="n">
        <v>5</v>
      </c>
      <c r="L102" s="13" t="s">
        <v>20</v>
      </c>
      <c r="M102" s="6" t="n">
        <v>-0.58</v>
      </c>
      <c r="N102" s="6" t="n">
        <v>0</v>
      </c>
      <c r="O102" s="6" t="n">
        <v>0</v>
      </c>
      <c r="P102" s="6" t="n">
        <v>2.69</v>
      </c>
      <c r="Q102" s="6" t="n">
        <v>11.4</v>
      </c>
      <c r="R102" s="6" t="n">
        <v>0.788</v>
      </c>
      <c r="S102" s="6" t="n">
        <v>38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N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3" min="11" style="0" width="8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14" t="s">
        <v>153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21.75" hidden="false" customHeight="true" outlineLevel="0" collapsed="false">
      <c r="A2" s="15" t="s">
        <v>154</v>
      </c>
      <c r="B2" s="15"/>
      <c r="C2" s="16" t="s">
        <v>155</v>
      </c>
      <c r="D2" s="16"/>
      <c r="E2" s="16"/>
      <c r="F2" s="16"/>
      <c r="G2" s="16"/>
      <c r="H2" s="17" t="s">
        <v>156</v>
      </c>
      <c r="I2" s="17"/>
      <c r="J2" s="17"/>
      <c r="K2" s="17"/>
      <c r="L2" s="17"/>
      <c r="M2" s="18" t="s">
        <v>157</v>
      </c>
      <c r="N2" s="18"/>
    </row>
    <row r="3" customFormat="false" ht="19.5" hidden="false" customHeight="true" outlineLevel="0" collapsed="false">
      <c r="A3" s="19" t="s">
        <v>1</v>
      </c>
      <c r="B3" s="19" t="s">
        <v>2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162</v>
      </c>
      <c r="H3" s="10" t="s">
        <v>158</v>
      </c>
      <c r="I3" s="10" t="s">
        <v>159</v>
      </c>
      <c r="J3" s="10" t="s">
        <v>160</v>
      </c>
      <c r="K3" s="10" t="s">
        <v>161</v>
      </c>
      <c r="L3" s="10" t="s">
        <v>162</v>
      </c>
      <c r="M3" s="20" t="s">
        <v>163</v>
      </c>
      <c r="N3" s="20" t="s">
        <v>164</v>
      </c>
    </row>
    <row r="4" customFormat="false" ht="15" hidden="false" customHeight="false" outlineLevel="0" collapsed="false">
      <c r="A4" s="21" t="s">
        <v>17</v>
      </c>
      <c r="B4" s="22" t="s">
        <v>18</v>
      </c>
      <c r="C4" s="21" t="n">
        <v>34</v>
      </c>
      <c r="D4" s="21" t="n">
        <v>5</v>
      </c>
      <c r="E4" s="21" t="n">
        <v>0</v>
      </c>
      <c r="F4" s="21" t="n">
        <v>5</v>
      </c>
      <c r="G4" s="21" t="s">
        <v>20</v>
      </c>
      <c r="H4" s="21" t="n">
        <v>26</v>
      </c>
      <c r="I4" s="21" t="n">
        <v>3</v>
      </c>
      <c r="J4" s="21" t="n">
        <v>2</v>
      </c>
      <c r="K4" s="21" t="n">
        <v>4</v>
      </c>
      <c r="L4" s="13" t="s">
        <v>20</v>
      </c>
      <c r="M4" s="13" t="s">
        <v>165</v>
      </c>
      <c r="N4" s="7" t="s">
        <v>166</v>
      </c>
    </row>
    <row r="5" customFormat="false" ht="15" hidden="false" customHeight="false" outlineLevel="0" collapsed="false">
      <c r="A5" s="6" t="s">
        <v>22</v>
      </c>
      <c r="B5" s="5" t="s">
        <v>23</v>
      </c>
      <c r="C5" s="6" t="n">
        <v>11</v>
      </c>
      <c r="D5" s="6" t="n">
        <v>4</v>
      </c>
      <c r="E5" s="6" t="n">
        <v>0</v>
      </c>
      <c r="F5" s="6" t="n">
        <v>5</v>
      </c>
      <c r="G5" s="6" t="s">
        <v>20</v>
      </c>
      <c r="H5" s="6" t="n">
        <v>12</v>
      </c>
      <c r="I5" s="6" t="n">
        <v>3</v>
      </c>
      <c r="J5" s="13" t="n">
        <v>0</v>
      </c>
      <c r="K5" s="6" t="n">
        <v>4</v>
      </c>
      <c r="L5" s="13" t="s">
        <v>20</v>
      </c>
      <c r="M5" s="13" t="s">
        <v>167</v>
      </c>
      <c r="N5" s="6" t="n">
        <v>0</v>
      </c>
    </row>
    <row r="6" customFormat="false" ht="15" hidden="false" customHeight="false" outlineLevel="0" collapsed="false">
      <c r="A6" s="21" t="s">
        <v>26</v>
      </c>
      <c r="B6" s="22" t="s">
        <v>23</v>
      </c>
      <c r="C6" s="21" t="n">
        <v>15</v>
      </c>
      <c r="D6" s="21" t="n">
        <v>7</v>
      </c>
      <c r="E6" s="7" t="n">
        <v>3</v>
      </c>
      <c r="F6" s="21" t="n">
        <v>8</v>
      </c>
      <c r="G6" s="21" t="s">
        <v>20</v>
      </c>
      <c r="H6" s="21" t="n">
        <v>16</v>
      </c>
      <c r="I6" s="21" t="n">
        <v>6</v>
      </c>
      <c r="J6" s="21" t="n">
        <v>4</v>
      </c>
      <c r="K6" s="21" t="n">
        <v>7</v>
      </c>
      <c r="L6" s="13" t="s">
        <v>20</v>
      </c>
      <c r="M6" s="13" t="s">
        <v>167</v>
      </c>
      <c r="N6" s="7" t="s">
        <v>168</v>
      </c>
    </row>
    <row r="7" customFormat="false" ht="15" hidden="false" customHeight="false" outlineLevel="0" collapsed="false">
      <c r="A7" s="6" t="s">
        <v>28</v>
      </c>
      <c r="B7" s="5" t="s">
        <v>29</v>
      </c>
      <c r="C7" s="6" t="n">
        <v>13</v>
      </c>
      <c r="D7" s="6" t="n">
        <v>0</v>
      </c>
      <c r="E7" s="6" t="n">
        <v>0</v>
      </c>
      <c r="F7" s="6" t="n">
        <v>1</v>
      </c>
      <c r="G7" s="6" t="s">
        <v>20</v>
      </c>
      <c r="H7" s="6" t="n">
        <v>13</v>
      </c>
      <c r="I7" s="6" t="n">
        <v>0</v>
      </c>
      <c r="J7" s="13" t="n">
        <v>0</v>
      </c>
      <c r="K7" s="6" t="n">
        <v>1</v>
      </c>
      <c r="L7" s="13" t="s">
        <v>20</v>
      </c>
      <c r="M7" s="6" t="n">
        <v>0</v>
      </c>
      <c r="N7" s="6" t="n">
        <v>0</v>
      </c>
    </row>
    <row r="8" customFormat="false" ht="15" hidden="false" customHeight="false" outlineLevel="0" collapsed="false">
      <c r="A8" s="21" t="s">
        <v>31</v>
      </c>
      <c r="B8" s="22" t="s">
        <v>32</v>
      </c>
      <c r="C8" s="21" t="n">
        <v>9</v>
      </c>
      <c r="D8" s="21" t="n">
        <v>2</v>
      </c>
      <c r="E8" s="21" t="n">
        <v>0</v>
      </c>
      <c r="F8" s="21" t="n">
        <v>2</v>
      </c>
      <c r="G8" s="21" t="s">
        <v>20</v>
      </c>
      <c r="H8" s="21" t="n">
        <v>8</v>
      </c>
      <c r="I8" s="21" t="n">
        <v>3</v>
      </c>
      <c r="J8" s="13" t="n">
        <v>0</v>
      </c>
      <c r="K8" s="21" t="n">
        <v>4</v>
      </c>
      <c r="L8" s="13" t="s">
        <v>20</v>
      </c>
      <c r="M8" s="7" t="s">
        <v>168</v>
      </c>
      <c r="N8" s="21" t="n">
        <v>0</v>
      </c>
    </row>
    <row r="9" customFormat="false" ht="15" hidden="false" customHeight="false" outlineLevel="0" collapsed="false">
      <c r="A9" s="6" t="s">
        <v>34</v>
      </c>
      <c r="B9" s="5" t="s">
        <v>23</v>
      </c>
      <c r="C9" s="6" t="n">
        <v>11</v>
      </c>
      <c r="D9" s="6" t="n">
        <v>6</v>
      </c>
      <c r="E9" s="6" t="n">
        <v>0</v>
      </c>
      <c r="F9" s="6" t="n">
        <v>6</v>
      </c>
      <c r="G9" s="6" t="s">
        <v>20</v>
      </c>
      <c r="H9" s="6" t="n">
        <v>9</v>
      </c>
      <c r="I9" s="6" t="n">
        <v>8</v>
      </c>
      <c r="J9" s="13" t="n">
        <v>0</v>
      </c>
      <c r="K9" s="6" t="n">
        <v>9</v>
      </c>
      <c r="L9" s="13" t="s">
        <v>20</v>
      </c>
      <c r="M9" s="7" t="s">
        <v>166</v>
      </c>
      <c r="N9" s="6" t="n">
        <v>0</v>
      </c>
    </row>
    <row r="10" customFormat="false" ht="15" hidden="false" customHeight="false" outlineLevel="0" collapsed="false">
      <c r="A10" s="21" t="s">
        <v>35</v>
      </c>
      <c r="B10" s="22" t="s">
        <v>32</v>
      </c>
      <c r="C10" s="21" t="n">
        <v>9</v>
      </c>
      <c r="D10" s="21" t="n">
        <v>3</v>
      </c>
      <c r="E10" s="21" t="n">
        <v>0</v>
      </c>
      <c r="F10" s="21" t="n">
        <v>2</v>
      </c>
      <c r="G10" s="21" t="s">
        <v>20</v>
      </c>
      <c r="H10" s="21" t="n">
        <v>12</v>
      </c>
      <c r="I10" s="21" t="n">
        <v>0</v>
      </c>
      <c r="J10" s="13" t="n">
        <v>0</v>
      </c>
      <c r="K10" s="21" t="n">
        <v>0</v>
      </c>
      <c r="L10" s="13" t="s">
        <v>20</v>
      </c>
      <c r="M10" s="13" t="s">
        <v>169</v>
      </c>
      <c r="N10" s="21" t="n">
        <v>0</v>
      </c>
    </row>
    <row r="11" customFormat="false" ht="15" hidden="false" customHeight="false" outlineLevel="0" collapsed="false">
      <c r="A11" s="6" t="s">
        <v>37</v>
      </c>
      <c r="B11" s="5" t="s">
        <v>38</v>
      </c>
      <c r="C11" s="6" t="n">
        <v>26</v>
      </c>
      <c r="D11" s="6" t="n">
        <v>2</v>
      </c>
      <c r="E11" s="6" t="n">
        <v>0</v>
      </c>
      <c r="F11" s="6" t="n">
        <v>3</v>
      </c>
      <c r="G11" s="6" t="s">
        <v>20</v>
      </c>
      <c r="H11" s="6" t="n">
        <v>26</v>
      </c>
      <c r="I11" s="6" t="n">
        <v>2</v>
      </c>
      <c r="J11" s="13" t="n">
        <v>0</v>
      </c>
      <c r="K11" s="6" t="n">
        <v>2</v>
      </c>
      <c r="L11" s="13" t="s">
        <v>20</v>
      </c>
      <c r="M11" s="6" t="n">
        <v>0</v>
      </c>
      <c r="N11" s="6" t="n">
        <v>0</v>
      </c>
    </row>
    <row r="12" customFormat="false" ht="15" hidden="false" customHeight="false" outlineLevel="0" collapsed="false">
      <c r="A12" s="21" t="s">
        <v>40</v>
      </c>
      <c r="B12" s="22" t="s">
        <v>29</v>
      </c>
      <c r="C12" s="21" t="n">
        <v>19</v>
      </c>
      <c r="D12" s="21" t="n">
        <v>2</v>
      </c>
      <c r="E12" s="21" t="n">
        <v>0</v>
      </c>
      <c r="F12" s="21" t="n">
        <v>1</v>
      </c>
      <c r="G12" s="21" t="s">
        <v>20</v>
      </c>
      <c r="H12" s="21" t="n">
        <v>16</v>
      </c>
      <c r="I12" s="21" t="n">
        <v>1</v>
      </c>
      <c r="J12" s="13" t="n">
        <v>0</v>
      </c>
      <c r="K12" s="21" t="n">
        <v>0</v>
      </c>
      <c r="L12" s="13" t="s">
        <v>20</v>
      </c>
      <c r="M12" s="13" t="s">
        <v>167</v>
      </c>
      <c r="N12" s="21" t="n">
        <v>0</v>
      </c>
    </row>
    <row r="13" customFormat="false" ht="15" hidden="false" customHeight="false" outlineLevel="0" collapsed="false">
      <c r="A13" s="6" t="s">
        <v>41</v>
      </c>
      <c r="B13" s="5" t="s">
        <v>42</v>
      </c>
      <c r="C13" s="6" t="n">
        <v>29</v>
      </c>
      <c r="D13" s="6" t="n">
        <v>4</v>
      </c>
      <c r="E13" s="7" t="n">
        <v>1</v>
      </c>
      <c r="F13" s="6" t="n">
        <v>4</v>
      </c>
      <c r="G13" s="6" t="s">
        <v>20</v>
      </c>
      <c r="H13" s="6" t="n">
        <v>28</v>
      </c>
      <c r="I13" s="6" t="n">
        <v>5</v>
      </c>
      <c r="J13" s="6" t="n">
        <v>4</v>
      </c>
      <c r="K13" s="6" t="n">
        <v>4</v>
      </c>
      <c r="L13" s="13" t="s">
        <v>20</v>
      </c>
      <c r="M13" s="7" t="s">
        <v>168</v>
      </c>
      <c r="N13" s="7" t="s">
        <v>170</v>
      </c>
    </row>
    <row r="14" customFormat="false" ht="15" hidden="false" customHeight="false" outlineLevel="0" collapsed="false">
      <c r="A14" s="21" t="s">
        <v>45</v>
      </c>
      <c r="B14" s="22" t="s">
        <v>23</v>
      </c>
      <c r="C14" s="21" t="n">
        <v>10</v>
      </c>
      <c r="D14" s="21" t="n">
        <v>2</v>
      </c>
      <c r="E14" s="21" t="n">
        <v>0</v>
      </c>
      <c r="F14" s="21" t="n">
        <v>1</v>
      </c>
      <c r="G14" s="21" t="s">
        <v>20</v>
      </c>
      <c r="H14" s="21" t="n">
        <v>13</v>
      </c>
      <c r="I14" s="21" t="n">
        <v>1</v>
      </c>
      <c r="J14" s="13" t="n">
        <v>0</v>
      </c>
      <c r="K14" s="21" t="n">
        <v>0</v>
      </c>
      <c r="L14" s="13" t="s">
        <v>20</v>
      </c>
      <c r="M14" s="13" t="s">
        <v>167</v>
      </c>
      <c r="N14" s="21" t="n">
        <v>0</v>
      </c>
    </row>
    <row r="15" customFormat="false" ht="15" hidden="false" customHeight="false" outlineLevel="0" collapsed="false">
      <c r="A15" s="6" t="s">
        <v>46</v>
      </c>
      <c r="B15" s="5" t="s">
        <v>47</v>
      </c>
      <c r="C15" s="6" t="n">
        <v>19</v>
      </c>
      <c r="D15" s="6" t="n">
        <v>8</v>
      </c>
      <c r="E15" s="7" t="n">
        <v>1</v>
      </c>
      <c r="F15" s="6" t="n">
        <v>7</v>
      </c>
      <c r="G15" s="6" t="s">
        <v>20</v>
      </c>
      <c r="H15" s="6" t="n">
        <v>22</v>
      </c>
      <c r="I15" s="6" t="n">
        <v>5</v>
      </c>
      <c r="J15" s="6" t="n">
        <v>2</v>
      </c>
      <c r="K15" s="6" t="n">
        <v>4</v>
      </c>
      <c r="L15" s="13" t="s">
        <v>20</v>
      </c>
      <c r="M15" s="13" t="s">
        <v>169</v>
      </c>
      <c r="N15" s="7" t="s">
        <v>168</v>
      </c>
    </row>
    <row r="16" customFormat="false" ht="15" hidden="false" customHeight="false" outlineLevel="0" collapsed="false">
      <c r="A16" s="21" t="s">
        <v>49</v>
      </c>
      <c r="B16" s="22" t="s">
        <v>18</v>
      </c>
      <c r="C16" s="21" t="n">
        <v>31</v>
      </c>
      <c r="D16" s="21" t="n">
        <v>4</v>
      </c>
      <c r="E16" s="7" t="n">
        <v>6</v>
      </c>
      <c r="F16" s="21" t="n">
        <v>3</v>
      </c>
      <c r="G16" s="21" t="s">
        <v>20</v>
      </c>
      <c r="H16" s="21" t="n">
        <v>31</v>
      </c>
      <c r="I16" s="21" t="n">
        <v>4</v>
      </c>
      <c r="J16" s="21" t="n">
        <v>4</v>
      </c>
      <c r="K16" s="21" t="n">
        <v>4</v>
      </c>
      <c r="L16" s="13" t="s">
        <v>20</v>
      </c>
      <c r="M16" s="21" t="n">
        <v>0</v>
      </c>
      <c r="N16" s="13" t="s">
        <v>165</v>
      </c>
    </row>
    <row r="17" customFormat="false" ht="15" hidden="false" customHeight="false" outlineLevel="0" collapsed="false">
      <c r="A17" s="6" t="s">
        <v>50</v>
      </c>
      <c r="B17" s="5" t="s">
        <v>51</v>
      </c>
      <c r="C17" s="6" t="n">
        <v>18</v>
      </c>
      <c r="D17" s="6" t="n">
        <v>5</v>
      </c>
      <c r="E17" s="6" t="n">
        <v>0</v>
      </c>
      <c r="F17" s="6" t="n">
        <v>6</v>
      </c>
      <c r="G17" s="6" t="s">
        <v>20</v>
      </c>
      <c r="H17" s="6" t="n">
        <v>19</v>
      </c>
      <c r="I17" s="6" t="n">
        <v>4</v>
      </c>
      <c r="J17" s="6" t="n">
        <v>2</v>
      </c>
      <c r="K17" s="6" t="n">
        <v>4</v>
      </c>
      <c r="L17" s="13" t="s">
        <v>20</v>
      </c>
      <c r="M17" s="13" t="s">
        <v>167</v>
      </c>
      <c r="N17" s="7" t="s">
        <v>166</v>
      </c>
    </row>
    <row r="18" customFormat="false" ht="15" hidden="false" customHeight="false" outlineLevel="0" collapsed="false">
      <c r="A18" s="21" t="s">
        <v>53</v>
      </c>
      <c r="B18" s="22" t="s">
        <v>42</v>
      </c>
      <c r="C18" s="21" t="n">
        <v>35</v>
      </c>
      <c r="D18" s="21" t="n">
        <v>2</v>
      </c>
      <c r="E18" s="21" t="n">
        <v>0</v>
      </c>
      <c r="F18" s="21" t="n">
        <v>2</v>
      </c>
      <c r="G18" s="21" t="s">
        <v>20</v>
      </c>
      <c r="H18" s="21" t="n">
        <v>33</v>
      </c>
      <c r="I18" s="21" t="n">
        <v>0</v>
      </c>
      <c r="J18" s="21" t="n">
        <v>3</v>
      </c>
      <c r="K18" s="21" t="n">
        <v>1</v>
      </c>
      <c r="L18" s="13" t="s">
        <v>20</v>
      </c>
      <c r="M18" s="13" t="s">
        <v>165</v>
      </c>
      <c r="N18" s="7" t="s">
        <v>170</v>
      </c>
    </row>
    <row r="19" customFormat="false" ht="15" hidden="false" customHeight="false" outlineLevel="0" collapsed="false">
      <c r="A19" s="6" t="s">
        <v>54</v>
      </c>
      <c r="B19" s="5" t="s">
        <v>55</v>
      </c>
      <c r="C19" s="6" t="n">
        <v>26</v>
      </c>
      <c r="D19" s="6" t="n">
        <v>1</v>
      </c>
      <c r="E19" s="6" t="n">
        <v>0</v>
      </c>
      <c r="F19" s="6" t="n">
        <v>0</v>
      </c>
      <c r="G19" s="6" t="s">
        <v>20</v>
      </c>
      <c r="H19" s="6" t="n">
        <v>24</v>
      </c>
      <c r="I19" s="6" t="n">
        <v>1</v>
      </c>
      <c r="J19" s="13" t="n">
        <v>0</v>
      </c>
      <c r="K19" s="6" t="n">
        <v>2</v>
      </c>
      <c r="L19" s="13" t="s">
        <v>20</v>
      </c>
      <c r="M19" s="6" t="n">
        <v>0</v>
      </c>
      <c r="N19" s="6" t="n">
        <v>0</v>
      </c>
    </row>
    <row r="20" customFormat="false" ht="15" hidden="false" customHeight="false" outlineLevel="0" collapsed="false">
      <c r="A20" s="21" t="s">
        <v>57</v>
      </c>
      <c r="B20" s="22" t="s">
        <v>42</v>
      </c>
      <c r="C20" s="21" t="n">
        <v>26</v>
      </c>
      <c r="D20" s="21" t="n">
        <v>7</v>
      </c>
      <c r="E20" s="7" t="n">
        <v>9</v>
      </c>
      <c r="F20" s="21" t="n">
        <v>8</v>
      </c>
      <c r="G20" s="21" t="s">
        <v>20</v>
      </c>
      <c r="H20" s="21" t="n">
        <v>27</v>
      </c>
      <c r="I20" s="21" t="n">
        <v>6</v>
      </c>
      <c r="J20" s="21" t="n">
        <v>8</v>
      </c>
      <c r="K20" s="21" t="n">
        <v>5</v>
      </c>
      <c r="L20" s="13" t="s">
        <v>20</v>
      </c>
      <c r="M20" s="13" t="s">
        <v>167</v>
      </c>
      <c r="N20" s="13" t="s">
        <v>167</v>
      </c>
    </row>
    <row r="21" customFormat="false" ht="15" hidden="false" customHeight="false" outlineLevel="0" collapsed="false">
      <c r="A21" s="6" t="s">
        <v>58</v>
      </c>
      <c r="B21" s="5" t="s">
        <v>55</v>
      </c>
      <c r="C21" s="6" t="n">
        <v>28</v>
      </c>
      <c r="D21" s="6" t="n">
        <v>0</v>
      </c>
      <c r="E21" s="6" t="n">
        <v>0</v>
      </c>
      <c r="F21" s="6" t="n">
        <v>0</v>
      </c>
      <c r="G21" s="6" t="s">
        <v>20</v>
      </c>
      <c r="H21" s="6" t="n">
        <v>29</v>
      </c>
      <c r="I21" s="6" t="n">
        <v>1</v>
      </c>
      <c r="J21" s="13" t="n">
        <v>0</v>
      </c>
      <c r="K21" s="6" t="n">
        <v>1</v>
      </c>
      <c r="L21" s="13" t="s">
        <v>20</v>
      </c>
      <c r="M21" s="7" t="s">
        <v>168</v>
      </c>
      <c r="N21" s="6" t="n">
        <v>0</v>
      </c>
    </row>
    <row r="22" customFormat="false" ht="15" hidden="false" customHeight="false" outlineLevel="0" collapsed="false">
      <c r="A22" s="21" t="s">
        <v>59</v>
      </c>
      <c r="B22" s="22" t="s">
        <v>38</v>
      </c>
      <c r="C22" s="21" t="n">
        <v>24</v>
      </c>
      <c r="D22" s="21" t="n">
        <v>6</v>
      </c>
      <c r="E22" s="7" t="n">
        <v>5</v>
      </c>
      <c r="F22" s="21" t="n">
        <v>6</v>
      </c>
      <c r="G22" s="21" t="s">
        <v>20</v>
      </c>
      <c r="H22" s="21" t="n">
        <v>26</v>
      </c>
      <c r="I22" s="21" t="n">
        <v>4</v>
      </c>
      <c r="J22" s="21" t="n">
        <v>5</v>
      </c>
      <c r="K22" s="21" t="n">
        <v>3</v>
      </c>
      <c r="L22" s="13" t="s">
        <v>20</v>
      </c>
      <c r="M22" s="13" t="s">
        <v>165</v>
      </c>
      <c r="N22" s="21" t="n">
        <v>0</v>
      </c>
    </row>
    <row r="23" customFormat="false" ht="15" hidden="false" customHeight="false" outlineLevel="0" collapsed="false">
      <c r="A23" s="6" t="s">
        <v>60</v>
      </c>
      <c r="B23" s="5" t="s">
        <v>51</v>
      </c>
      <c r="C23" s="6" t="n">
        <v>18</v>
      </c>
      <c r="D23" s="6" t="n">
        <v>8</v>
      </c>
      <c r="E23" s="7" t="n">
        <v>5</v>
      </c>
      <c r="F23" s="6" t="n">
        <v>8</v>
      </c>
      <c r="G23" s="6" t="s">
        <v>20</v>
      </c>
      <c r="H23" s="6" t="n">
        <v>18</v>
      </c>
      <c r="I23" s="6" t="n">
        <v>8</v>
      </c>
      <c r="J23" s="6" t="n">
        <v>6</v>
      </c>
      <c r="K23" s="6" t="n">
        <v>9</v>
      </c>
      <c r="L23" s="13" t="s">
        <v>20</v>
      </c>
      <c r="M23" s="6" t="n">
        <v>0</v>
      </c>
      <c r="N23" s="7" t="s">
        <v>168</v>
      </c>
    </row>
    <row r="24" customFormat="false" ht="15" hidden="false" customHeight="false" outlineLevel="0" collapsed="false">
      <c r="A24" s="21" t="s">
        <v>61</v>
      </c>
      <c r="B24" s="22" t="s">
        <v>42</v>
      </c>
      <c r="C24" s="21" t="n">
        <v>34</v>
      </c>
      <c r="D24" s="21" t="n">
        <v>0</v>
      </c>
      <c r="E24" s="7" t="n">
        <v>2</v>
      </c>
      <c r="F24" s="21" t="n">
        <v>1</v>
      </c>
      <c r="G24" s="21" t="s">
        <v>20</v>
      </c>
      <c r="H24" s="21" t="n">
        <v>33</v>
      </c>
      <c r="I24" s="21" t="n">
        <v>1</v>
      </c>
      <c r="J24" s="21" t="n">
        <v>8</v>
      </c>
      <c r="K24" s="21" t="n">
        <v>1</v>
      </c>
      <c r="L24" s="13" t="s">
        <v>20</v>
      </c>
      <c r="M24" s="7" t="s">
        <v>168</v>
      </c>
      <c r="N24" s="7" t="s">
        <v>171</v>
      </c>
    </row>
    <row r="25" customFormat="false" ht="15" hidden="false" customHeight="false" outlineLevel="0" collapsed="false">
      <c r="A25" s="6" t="s">
        <v>62</v>
      </c>
      <c r="B25" s="5" t="s">
        <v>38</v>
      </c>
      <c r="C25" s="6" t="n">
        <v>17</v>
      </c>
      <c r="D25" s="6" t="n">
        <v>9</v>
      </c>
      <c r="E25" s="6" t="n">
        <v>0</v>
      </c>
      <c r="F25" s="6" t="n">
        <v>9</v>
      </c>
      <c r="G25" s="6" t="s">
        <v>20</v>
      </c>
      <c r="H25" s="6" t="n">
        <v>24</v>
      </c>
      <c r="I25" s="6" t="n">
        <v>2</v>
      </c>
      <c r="J25" s="13" t="n">
        <v>0</v>
      </c>
      <c r="K25" s="6" t="n">
        <v>2</v>
      </c>
      <c r="L25" s="13" t="s">
        <v>20</v>
      </c>
      <c r="M25" s="13" t="s">
        <v>172</v>
      </c>
      <c r="N25" s="6" t="n">
        <v>0</v>
      </c>
    </row>
    <row r="26" customFormat="false" ht="15" hidden="false" customHeight="false" outlineLevel="0" collapsed="false">
      <c r="A26" s="21" t="s">
        <v>63</v>
      </c>
      <c r="B26" s="22" t="s">
        <v>23</v>
      </c>
      <c r="C26" s="21" t="n">
        <v>11</v>
      </c>
      <c r="D26" s="21" t="n">
        <v>12</v>
      </c>
      <c r="E26" s="7" t="n">
        <v>11</v>
      </c>
      <c r="F26" s="21" t="n">
        <v>12</v>
      </c>
      <c r="G26" s="7" t="s">
        <v>64</v>
      </c>
      <c r="H26" s="21" t="n">
        <v>15</v>
      </c>
      <c r="I26" s="21" t="n">
        <v>8</v>
      </c>
      <c r="J26" s="21" t="n">
        <v>9</v>
      </c>
      <c r="K26" s="21" t="n">
        <v>8</v>
      </c>
      <c r="L26" s="13" t="s">
        <v>20</v>
      </c>
      <c r="M26" s="13" t="s">
        <v>173</v>
      </c>
      <c r="N26" s="13" t="s">
        <v>165</v>
      </c>
    </row>
    <row r="27" customFormat="false" ht="15" hidden="false" customHeight="false" outlineLevel="0" collapsed="false">
      <c r="A27" s="6" t="s">
        <v>65</v>
      </c>
      <c r="B27" s="5" t="s">
        <v>38</v>
      </c>
      <c r="C27" s="6" t="n">
        <v>28</v>
      </c>
      <c r="D27" s="6" t="n">
        <v>11</v>
      </c>
      <c r="E27" s="6" t="n">
        <v>0</v>
      </c>
      <c r="F27" s="6" t="n">
        <v>12</v>
      </c>
      <c r="G27" s="6" t="s">
        <v>20</v>
      </c>
      <c r="H27" s="6" t="n">
        <v>23</v>
      </c>
      <c r="I27" s="6" t="n">
        <v>6</v>
      </c>
      <c r="J27" s="13" t="n">
        <v>0</v>
      </c>
      <c r="K27" s="6" t="n">
        <v>5</v>
      </c>
      <c r="L27" s="13" t="s">
        <v>20</v>
      </c>
      <c r="M27" s="13" t="s">
        <v>174</v>
      </c>
      <c r="N27" s="6" t="n">
        <v>0</v>
      </c>
    </row>
    <row r="28" customFormat="false" ht="15" hidden="false" customHeight="false" outlineLevel="0" collapsed="false">
      <c r="A28" s="21" t="s">
        <v>66</v>
      </c>
      <c r="B28" s="22" t="s">
        <v>51</v>
      </c>
      <c r="C28" s="21" t="n">
        <v>16</v>
      </c>
      <c r="D28" s="21" t="n">
        <v>6</v>
      </c>
      <c r="E28" s="21" t="n">
        <v>0</v>
      </c>
      <c r="F28" s="21" t="n">
        <v>5</v>
      </c>
      <c r="G28" s="21" t="s">
        <v>20</v>
      </c>
      <c r="H28" s="21" t="n">
        <v>17</v>
      </c>
      <c r="I28" s="21" t="n">
        <v>5</v>
      </c>
      <c r="J28" s="13" t="n">
        <v>0</v>
      </c>
      <c r="K28" s="21" t="n">
        <v>6</v>
      </c>
      <c r="L28" s="13" t="s">
        <v>20</v>
      </c>
      <c r="M28" s="13" t="s">
        <v>167</v>
      </c>
      <c r="N28" s="21" t="n">
        <v>0</v>
      </c>
    </row>
    <row r="29" customFormat="false" ht="15" hidden="false" customHeight="false" outlineLevel="0" collapsed="false">
      <c r="A29" s="6" t="s">
        <v>67</v>
      </c>
      <c r="B29" s="5" t="s">
        <v>38</v>
      </c>
      <c r="C29" s="6" t="n">
        <v>26</v>
      </c>
      <c r="D29" s="6" t="n">
        <v>7</v>
      </c>
      <c r="E29" s="7" t="n">
        <v>4</v>
      </c>
      <c r="F29" s="6" t="n">
        <v>7</v>
      </c>
      <c r="G29" s="6" t="s">
        <v>20</v>
      </c>
      <c r="H29" s="6" t="n">
        <v>30</v>
      </c>
      <c r="I29" s="6" t="n">
        <v>3</v>
      </c>
      <c r="J29" s="6" t="n">
        <v>5</v>
      </c>
      <c r="K29" s="6" t="n">
        <v>2</v>
      </c>
      <c r="L29" s="13" t="s">
        <v>20</v>
      </c>
      <c r="M29" s="13" t="s">
        <v>173</v>
      </c>
      <c r="N29" s="7" t="s">
        <v>168</v>
      </c>
    </row>
    <row r="30" customFormat="false" ht="15" hidden="false" customHeight="false" outlineLevel="0" collapsed="false">
      <c r="A30" s="21" t="s">
        <v>68</v>
      </c>
      <c r="B30" s="22" t="s">
        <v>47</v>
      </c>
      <c r="C30" s="21" t="n">
        <v>18</v>
      </c>
      <c r="D30" s="21" t="n">
        <v>1</v>
      </c>
      <c r="E30" s="21" t="n">
        <v>0</v>
      </c>
      <c r="F30" s="21" t="n">
        <v>1</v>
      </c>
      <c r="G30" s="21" t="s">
        <v>20</v>
      </c>
      <c r="H30" s="21" t="n">
        <v>20</v>
      </c>
      <c r="I30" s="21" t="n">
        <v>1</v>
      </c>
      <c r="J30" s="13" t="n">
        <v>0</v>
      </c>
      <c r="K30" s="21" t="n">
        <v>0</v>
      </c>
      <c r="L30" s="13" t="s">
        <v>20</v>
      </c>
      <c r="M30" s="21" t="n">
        <v>0</v>
      </c>
      <c r="N30" s="21" t="n">
        <v>0</v>
      </c>
    </row>
    <row r="31" customFormat="false" ht="15" hidden="false" customHeight="false" outlineLevel="0" collapsed="false">
      <c r="A31" s="6" t="s">
        <v>69</v>
      </c>
      <c r="B31" s="5" t="s">
        <v>29</v>
      </c>
      <c r="C31" s="6" t="n">
        <v>11</v>
      </c>
      <c r="D31" s="6" t="n">
        <v>14</v>
      </c>
      <c r="E31" s="7" t="n">
        <v>9</v>
      </c>
      <c r="F31" s="6" t="n">
        <v>14</v>
      </c>
      <c r="G31" s="7" t="s">
        <v>64</v>
      </c>
      <c r="H31" s="6" t="n">
        <v>20</v>
      </c>
      <c r="I31" s="6" t="n">
        <v>5</v>
      </c>
      <c r="J31" s="6" t="n">
        <v>2</v>
      </c>
      <c r="K31" s="6" t="n">
        <v>4</v>
      </c>
      <c r="L31" s="13" t="s">
        <v>20</v>
      </c>
      <c r="M31" s="13" t="s">
        <v>175</v>
      </c>
      <c r="N31" s="13" t="s">
        <v>172</v>
      </c>
    </row>
    <row r="32" customFormat="false" ht="15" hidden="false" customHeight="false" outlineLevel="0" collapsed="false">
      <c r="A32" s="21" t="s">
        <v>70</v>
      </c>
      <c r="B32" s="22" t="s">
        <v>23</v>
      </c>
      <c r="C32" s="21" t="n">
        <v>13</v>
      </c>
      <c r="D32" s="21" t="n">
        <v>8</v>
      </c>
      <c r="E32" s="21" t="n">
        <v>0</v>
      </c>
      <c r="F32" s="21" t="n">
        <v>7</v>
      </c>
      <c r="G32" s="21" t="s">
        <v>20</v>
      </c>
      <c r="H32" s="21" t="n">
        <v>18</v>
      </c>
      <c r="I32" s="21" t="n">
        <v>3</v>
      </c>
      <c r="J32" s="13" t="n">
        <v>0</v>
      </c>
      <c r="K32" s="21" t="n">
        <v>4</v>
      </c>
      <c r="L32" s="13" t="s">
        <v>20</v>
      </c>
      <c r="M32" s="13" t="s">
        <v>174</v>
      </c>
      <c r="N32" s="21" t="n">
        <v>0</v>
      </c>
    </row>
    <row r="33" customFormat="false" ht="15" hidden="false" customHeight="false" outlineLevel="0" collapsed="false">
      <c r="A33" s="6" t="s">
        <v>71</v>
      </c>
      <c r="B33" s="5" t="s">
        <v>32</v>
      </c>
      <c r="C33" s="6" t="n">
        <v>13</v>
      </c>
      <c r="D33" s="6" t="n">
        <v>4</v>
      </c>
      <c r="E33" s="6" t="n">
        <v>0</v>
      </c>
      <c r="F33" s="6" t="n">
        <v>4</v>
      </c>
      <c r="G33" s="6" t="s">
        <v>20</v>
      </c>
      <c r="H33" s="6" t="n">
        <v>18</v>
      </c>
      <c r="I33" s="6" t="n">
        <v>1</v>
      </c>
      <c r="J33" s="13" t="n">
        <v>0</v>
      </c>
      <c r="K33" s="6" t="n">
        <v>1</v>
      </c>
      <c r="L33" s="13" t="s">
        <v>20</v>
      </c>
      <c r="M33" s="13" t="s">
        <v>169</v>
      </c>
      <c r="N33" s="6" t="n">
        <v>0</v>
      </c>
    </row>
    <row r="34" customFormat="false" ht="15" hidden="false" customHeight="false" outlineLevel="0" collapsed="false">
      <c r="A34" s="21" t="s">
        <v>72</v>
      </c>
      <c r="B34" s="22" t="s">
        <v>42</v>
      </c>
      <c r="C34" s="21" t="n">
        <v>25</v>
      </c>
      <c r="D34" s="21" t="n">
        <v>14</v>
      </c>
      <c r="E34" s="7" t="n">
        <v>14</v>
      </c>
      <c r="F34" s="21" t="n">
        <v>15</v>
      </c>
      <c r="G34" s="7" t="s">
        <v>64</v>
      </c>
      <c r="H34" s="21" t="n">
        <v>31</v>
      </c>
      <c r="I34" s="21" t="n">
        <v>8</v>
      </c>
      <c r="J34" s="21" t="n">
        <v>11</v>
      </c>
      <c r="K34" s="21" t="n">
        <v>9</v>
      </c>
      <c r="L34" s="13" t="s">
        <v>20</v>
      </c>
      <c r="M34" s="13" t="s">
        <v>176</v>
      </c>
      <c r="N34" s="13" t="s">
        <v>169</v>
      </c>
    </row>
    <row r="35" customFormat="false" ht="15" hidden="false" customHeight="false" outlineLevel="0" collapsed="false">
      <c r="A35" s="6" t="s">
        <v>73</v>
      </c>
      <c r="B35" s="5" t="s">
        <v>18</v>
      </c>
      <c r="C35" s="6" t="n">
        <v>32</v>
      </c>
      <c r="D35" s="6" t="n">
        <v>14</v>
      </c>
      <c r="E35" s="7" t="n">
        <v>10</v>
      </c>
      <c r="F35" s="6" t="n">
        <v>13</v>
      </c>
      <c r="G35" s="7" t="s">
        <v>64</v>
      </c>
      <c r="H35" s="6" t="n">
        <v>33</v>
      </c>
      <c r="I35" s="6" t="n">
        <v>13</v>
      </c>
      <c r="J35" s="6" t="n">
        <v>12</v>
      </c>
      <c r="K35" s="6" t="n">
        <v>13</v>
      </c>
      <c r="L35" s="7" t="s">
        <v>64</v>
      </c>
      <c r="M35" s="13" t="s">
        <v>167</v>
      </c>
      <c r="N35" s="7" t="s">
        <v>166</v>
      </c>
    </row>
    <row r="36" customFormat="false" ht="15" hidden="false" customHeight="false" outlineLevel="0" collapsed="false">
      <c r="A36" s="21" t="s">
        <v>74</v>
      </c>
      <c r="B36" s="22" t="s">
        <v>18</v>
      </c>
      <c r="C36" s="21" t="n">
        <v>30</v>
      </c>
      <c r="D36" s="21" t="n">
        <v>10</v>
      </c>
      <c r="E36" s="7" t="n">
        <v>13</v>
      </c>
      <c r="F36" s="21" t="n">
        <v>10</v>
      </c>
      <c r="G36" s="21" t="s">
        <v>20</v>
      </c>
      <c r="H36" s="21" t="n">
        <v>32</v>
      </c>
      <c r="I36" s="21" t="n">
        <v>8</v>
      </c>
      <c r="J36" s="21" t="n">
        <v>13</v>
      </c>
      <c r="K36" s="21" t="n">
        <v>9</v>
      </c>
      <c r="L36" s="13" t="s">
        <v>20</v>
      </c>
      <c r="M36" s="13" t="s">
        <v>165</v>
      </c>
      <c r="N36" s="21" t="n">
        <v>0</v>
      </c>
    </row>
    <row r="37" customFormat="false" ht="15" hidden="false" customHeight="false" outlineLevel="0" collapsed="false">
      <c r="A37" s="6" t="s">
        <v>75</v>
      </c>
      <c r="B37" s="5" t="s">
        <v>18</v>
      </c>
      <c r="C37" s="6" t="n">
        <v>22</v>
      </c>
      <c r="D37" s="6" t="n">
        <v>20</v>
      </c>
      <c r="E37" s="7" t="n">
        <v>20</v>
      </c>
      <c r="F37" s="6" t="n">
        <v>20</v>
      </c>
      <c r="G37" s="7" t="s">
        <v>64</v>
      </c>
      <c r="H37" s="6" t="n">
        <v>30</v>
      </c>
      <c r="I37" s="6" t="n">
        <v>12</v>
      </c>
      <c r="J37" s="6" t="n">
        <v>17</v>
      </c>
      <c r="K37" s="6" t="n">
        <v>13</v>
      </c>
      <c r="L37" s="7" t="s">
        <v>64</v>
      </c>
      <c r="M37" s="13" t="s">
        <v>177</v>
      </c>
      <c r="N37" s="13" t="s">
        <v>169</v>
      </c>
    </row>
    <row r="38" customFormat="false" ht="15" hidden="false" customHeight="false" outlineLevel="0" collapsed="false">
      <c r="A38" s="21" t="s">
        <v>76</v>
      </c>
      <c r="B38" s="22" t="s">
        <v>47</v>
      </c>
      <c r="C38" s="21" t="n">
        <v>21</v>
      </c>
      <c r="D38" s="21" t="n">
        <v>12</v>
      </c>
      <c r="E38" s="7" t="n">
        <v>5</v>
      </c>
      <c r="F38" s="21" t="n">
        <v>13</v>
      </c>
      <c r="G38" s="7" t="s">
        <v>64</v>
      </c>
      <c r="H38" s="21" t="n">
        <v>26</v>
      </c>
      <c r="I38" s="21" t="n">
        <v>7</v>
      </c>
      <c r="J38" s="21" t="n">
        <v>5</v>
      </c>
      <c r="K38" s="21" t="n">
        <v>8</v>
      </c>
      <c r="L38" s="13" t="s">
        <v>20</v>
      </c>
      <c r="M38" s="13" t="s">
        <v>174</v>
      </c>
      <c r="N38" s="21" t="n">
        <v>0</v>
      </c>
    </row>
    <row r="39" customFormat="false" ht="15" hidden="false" customHeight="false" outlineLevel="0" collapsed="false">
      <c r="A39" s="6" t="s">
        <v>77</v>
      </c>
      <c r="B39" s="5" t="s">
        <v>42</v>
      </c>
      <c r="C39" s="6" t="n">
        <v>26</v>
      </c>
      <c r="D39" s="6" t="n">
        <v>17</v>
      </c>
      <c r="E39" s="7" t="n">
        <v>9</v>
      </c>
      <c r="F39" s="6" t="n">
        <v>16</v>
      </c>
      <c r="G39" s="7" t="s">
        <v>64</v>
      </c>
      <c r="H39" s="6" t="n">
        <v>36</v>
      </c>
      <c r="I39" s="6" t="n">
        <v>7</v>
      </c>
      <c r="J39" s="6" t="n">
        <v>1</v>
      </c>
      <c r="K39" s="6" t="n">
        <v>7</v>
      </c>
      <c r="L39" s="13" t="s">
        <v>20</v>
      </c>
      <c r="M39" s="13" t="s">
        <v>178</v>
      </c>
      <c r="N39" s="13" t="s">
        <v>177</v>
      </c>
    </row>
    <row r="40" customFormat="false" ht="15" hidden="false" customHeight="false" outlineLevel="0" collapsed="false">
      <c r="A40" s="21" t="s">
        <v>78</v>
      </c>
      <c r="B40" s="22" t="s">
        <v>38</v>
      </c>
      <c r="C40" s="21" t="n">
        <v>24</v>
      </c>
      <c r="D40" s="21" t="n">
        <v>9</v>
      </c>
      <c r="E40" s="7" t="n">
        <v>11</v>
      </c>
      <c r="F40" s="21" t="n">
        <v>8</v>
      </c>
      <c r="G40" s="21" t="s">
        <v>20</v>
      </c>
      <c r="H40" s="21" t="n">
        <v>34</v>
      </c>
      <c r="I40" s="21" t="n">
        <v>1</v>
      </c>
      <c r="J40" s="21" t="n">
        <v>5</v>
      </c>
      <c r="K40" s="21" t="n">
        <v>2</v>
      </c>
      <c r="L40" s="13" t="s">
        <v>20</v>
      </c>
      <c r="M40" s="13" t="s">
        <v>177</v>
      </c>
      <c r="N40" s="13" t="s">
        <v>176</v>
      </c>
    </row>
    <row r="41" customFormat="false" ht="15" hidden="false" customHeight="false" outlineLevel="0" collapsed="false">
      <c r="A41" s="6" t="s">
        <v>79</v>
      </c>
      <c r="B41" s="5" t="s">
        <v>23</v>
      </c>
      <c r="C41" s="6" t="n">
        <v>10</v>
      </c>
      <c r="D41" s="6" t="n">
        <v>6</v>
      </c>
      <c r="E41" s="6" t="n">
        <v>0</v>
      </c>
      <c r="F41" s="6" t="n">
        <v>5</v>
      </c>
      <c r="G41" s="6" t="s">
        <v>20</v>
      </c>
      <c r="H41" s="6" t="n">
        <v>19</v>
      </c>
      <c r="I41" s="6" t="n">
        <v>3</v>
      </c>
      <c r="J41" s="13" t="n">
        <v>0</v>
      </c>
      <c r="K41" s="6" t="n">
        <v>2</v>
      </c>
      <c r="L41" s="13" t="s">
        <v>20</v>
      </c>
      <c r="M41" s="13" t="s">
        <v>169</v>
      </c>
      <c r="N41" s="6" t="n">
        <v>0</v>
      </c>
    </row>
    <row r="42" customFormat="false" ht="15" hidden="false" customHeight="false" outlineLevel="0" collapsed="false">
      <c r="A42" s="21" t="s">
        <v>80</v>
      </c>
      <c r="B42" s="22" t="s">
        <v>51</v>
      </c>
      <c r="C42" s="21" t="n">
        <v>16</v>
      </c>
      <c r="D42" s="21" t="n">
        <v>17</v>
      </c>
      <c r="E42" s="7" t="n">
        <v>13</v>
      </c>
      <c r="F42" s="21" t="n">
        <v>16</v>
      </c>
      <c r="G42" s="7" t="s">
        <v>64</v>
      </c>
      <c r="H42" s="21" t="n">
        <v>23</v>
      </c>
      <c r="I42" s="21" t="n">
        <v>10</v>
      </c>
      <c r="J42" s="21" t="n">
        <v>8</v>
      </c>
      <c r="K42" s="21" t="n">
        <v>9</v>
      </c>
      <c r="L42" s="13" t="s">
        <v>20</v>
      </c>
      <c r="M42" s="13" t="s">
        <v>172</v>
      </c>
      <c r="N42" s="13" t="s">
        <v>174</v>
      </c>
    </row>
    <row r="43" customFormat="false" ht="15" hidden="false" customHeight="false" outlineLevel="0" collapsed="false">
      <c r="A43" s="6" t="s">
        <v>81</v>
      </c>
      <c r="B43" s="5" t="s">
        <v>51</v>
      </c>
      <c r="C43" s="6" t="n">
        <v>22</v>
      </c>
      <c r="D43" s="6" t="n">
        <v>6</v>
      </c>
      <c r="E43" s="7" t="n">
        <v>4</v>
      </c>
      <c r="F43" s="6" t="n">
        <v>7</v>
      </c>
      <c r="G43" s="6" t="s">
        <v>20</v>
      </c>
      <c r="H43" s="6" t="n">
        <v>26</v>
      </c>
      <c r="I43" s="6" t="n">
        <v>2</v>
      </c>
      <c r="J43" s="6" t="n">
        <v>1</v>
      </c>
      <c r="K43" s="6" t="n">
        <v>1</v>
      </c>
      <c r="L43" s="13" t="s">
        <v>20</v>
      </c>
      <c r="M43" s="13" t="s">
        <v>173</v>
      </c>
      <c r="N43" s="13" t="s">
        <v>169</v>
      </c>
    </row>
    <row r="44" customFormat="false" ht="15" hidden="false" customHeight="false" outlineLevel="0" collapsed="false">
      <c r="A44" s="21" t="s">
        <v>82</v>
      </c>
      <c r="B44" s="22" t="s">
        <v>18</v>
      </c>
      <c r="C44" s="21" t="n">
        <v>29</v>
      </c>
      <c r="D44" s="21" t="n">
        <v>4</v>
      </c>
      <c r="E44" s="21" t="n">
        <v>0</v>
      </c>
      <c r="F44" s="21" t="n">
        <v>5</v>
      </c>
      <c r="G44" s="21" t="s">
        <v>20</v>
      </c>
      <c r="H44" s="21" t="n">
        <v>29</v>
      </c>
      <c r="I44" s="21" t="n">
        <v>4</v>
      </c>
      <c r="J44" s="13" t="n">
        <v>0</v>
      </c>
      <c r="K44" s="21" t="n">
        <v>4</v>
      </c>
      <c r="L44" s="13" t="s">
        <v>20</v>
      </c>
      <c r="M44" s="21" t="n">
        <v>0</v>
      </c>
      <c r="N44" s="21" t="n">
        <v>0</v>
      </c>
    </row>
    <row r="45" customFormat="false" ht="15" hidden="false" customHeight="false" outlineLevel="0" collapsed="false">
      <c r="A45" s="6" t="s">
        <v>83</v>
      </c>
      <c r="B45" s="5" t="s">
        <v>84</v>
      </c>
      <c r="C45" s="6" t="n">
        <v>15</v>
      </c>
      <c r="D45" s="6" t="n">
        <v>10</v>
      </c>
      <c r="E45" s="7" t="n">
        <v>5</v>
      </c>
      <c r="F45" s="6" t="n">
        <v>11</v>
      </c>
      <c r="G45" s="7" t="s">
        <v>64</v>
      </c>
      <c r="H45" s="6" t="n">
        <v>20</v>
      </c>
      <c r="I45" s="6" t="n">
        <v>5</v>
      </c>
      <c r="J45" s="6" t="n">
        <v>1</v>
      </c>
      <c r="K45" s="6" t="n">
        <v>4</v>
      </c>
      <c r="L45" s="13" t="s">
        <v>20</v>
      </c>
      <c r="M45" s="13" t="s">
        <v>174</v>
      </c>
      <c r="N45" s="13" t="s">
        <v>173</v>
      </c>
    </row>
    <row r="46" customFormat="false" ht="15" hidden="false" customHeight="false" outlineLevel="0" collapsed="false">
      <c r="A46" s="21" t="s">
        <v>86</v>
      </c>
      <c r="B46" s="22" t="s">
        <v>38</v>
      </c>
      <c r="C46" s="21" t="n">
        <v>26</v>
      </c>
      <c r="D46" s="21" t="n">
        <v>4</v>
      </c>
      <c r="E46" s="7" t="n">
        <v>6</v>
      </c>
      <c r="F46" s="21" t="n">
        <v>4</v>
      </c>
      <c r="G46" s="21" t="s">
        <v>20</v>
      </c>
      <c r="H46" s="21" t="n">
        <v>26</v>
      </c>
      <c r="I46" s="21" t="n">
        <v>4</v>
      </c>
      <c r="J46" s="21" t="n">
        <v>6</v>
      </c>
      <c r="K46" s="21" t="n">
        <v>4</v>
      </c>
      <c r="L46" s="13" t="s">
        <v>20</v>
      </c>
      <c r="M46" s="21" t="n">
        <v>0</v>
      </c>
      <c r="N46" s="21" t="n">
        <v>0</v>
      </c>
    </row>
    <row r="47" customFormat="false" ht="15" hidden="false" customHeight="false" outlineLevel="0" collapsed="false">
      <c r="A47" s="6" t="s">
        <v>87</v>
      </c>
      <c r="B47" s="5" t="s">
        <v>55</v>
      </c>
      <c r="C47" s="6" t="n">
        <v>31</v>
      </c>
      <c r="D47" s="6" t="n">
        <v>3</v>
      </c>
      <c r="E47" s="6" t="n">
        <v>0</v>
      </c>
      <c r="F47" s="6" t="n">
        <v>2</v>
      </c>
      <c r="G47" s="6" t="s">
        <v>20</v>
      </c>
      <c r="H47" s="6" t="n">
        <v>31</v>
      </c>
      <c r="I47" s="6" t="n">
        <v>3</v>
      </c>
      <c r="J47" s="13" t="n">
        <v>0</v>
      </c>
      <c r="K47" s="6" t="n">
        <v>4</v>
      </c>
      <c r="L47" s="13" t="s">
        <v>20</v>
      </c>
      <c r="M47" s="6" t="n">
        <v>0</v>
      </c>
      <c r="N47" s="6" t="n">
        <v>0</v>
      </c>
    </row>
    <row r="48" customFormat="false" ht="15" hidden="false" customHeight="false" outlineLevel="0" collapsed="false">
      <c r="A48" s="21" t="s">
        <v>88</v>
      </c>
      <c r="B48" s="22" t="s">
        <v>18</v>
      </c>
      <c r="C48" s="21" t="n">
        <v>25</v>
      </c>
      <c r="D48" s="21" t="n">
        <v>17</v>
      </c>
      <c r="E48" s="7" t="n">
        <v>12</v>
      </c>
      <c r="F48" s="21" t="n">
        <v>17</v>
      </c>
      <c r="G48" s="7" t="s">
        <v>64</v>
      </c>
      <c r="H48" s="21" t="n">
        <v>33</v>
      </c>
      <c r="I48" s="21" t="n">
        <v>9</v>
      </c>
      <c r="J48" s="21" t="n">
        <v>9</v>
      </c>
      <c r="K48" s="21" t="n">
        <v>10</v>
      </c>
      <c r="L48" s="13" t="s">
        <v>20</v>
      </c>
      <c r="M48" s="13" t="s">
        <v>177</v>
      </c>
      <c r="N48" s="13" t="s">
        <v>169</v>
      </c>
    </row>
    <row r="49" customFormat="false" ht="15" hidden="false" customHeight="false" outlineLevel="0" collapsed="false">
      <c r="A49" s="6" t="s">
        <v>89</v>
      </c>
      <c r="B49" s="5" t="s">
        <v>18</v>
      </c>
      <c r="C49" s="6" t="n">
        <v>28</v>
      </c>
      <c r="D49" s="6" t="n">
        <v>10</v>
      </c>
      <c r="E49" s="7" t="n">
        <v>8</v>
      </c>
      <c r="F49" s="6" t="n">
        <v>10</v>
      </c>
      <c r="G49" s="6" t="s">
        <v>20</v>
      </c>
      <c r="H49" s="6" t="n">
        <v>32</v>
      </c>
      <c r="I49" s="6" t="n">
        <v>6</v>
      </c>
      <c r="J49" s="6" t="n">
        <v>4</v>
      </c>
      <c r="K49" s="6" t="n">
        <v>7</v>
      </c>
      <c r="L49" s="13" t="s">
        <v>20</v>
      </c>
      <c r="M49" s="13" t="s">
        <v>173</v>
      </c>
      <c r="N49" s="13" t="s">
        <v>173</v>
      </c>
    </row>
    <row r="50" customFormat="false" ht="15" hidden="false" customHeight="false" outlineLevel="0" collapsed="false">
      <c r="A50" s="21" t="s">
        <v>90</v>
      </c>
      <c r="B50" s="22" t="s">
        <v>51</v>
      </c>
      <c r="C50" s="21" t="n">
        <v>21</v>
      </c>
      <c r="D50" s="21" t="n">
        <v>5</v>
      </c>
      <c r="E50" s="21" t="n">
        <v>0</v>
      </c>
      <c r="F50" s="21" t="n">
        <v>6</v>
      </c>
      <c r="G50" s="21" t="s">
        <v>20</v>
      </c>
      <c r="H50" s="21" t="n">
        <v>19</v>
      </c>
      <c r="I50" s="21" t="n">
        <v>7</v>
      </c>
      <c r="J50" s="13" t="n">
        <v>0</v>
      </c>
      <c r="K50" s="21" t="n">
        <v>6</v>
      </c>
      <c r="L50" s="13" t="s">
        <v>20</v>
      </c>
      <c r="M50" s="7" t="s">
        <v>166</v>
      </c>
      <c r="N50" s="21" t="n">
        <v>0</v>
      </c>
    </row>
    <row r="51" customFormat="false" ht="15" hidden="false" customHeight="false" outlineLevel="0" collapsed="false">
      <c r="A51" s="6" t="s">
        <v>91</v>
      </c>
      <c r="B51" s="5" t="s">
        <v>47</v>
      </c>
      <c r="C51" s="6" t="n">
        <v>14</v>
      </c>
      <c r="D51" s="6" t="n">
        <v>11</v>
      </c>
      <c r="E51" s="7" t="n">
        <v>9</v>
      </c>
      <c r="F51" s="6" t="n">
        <v>10</v>
      </c>
      <c r="G51" s="6" t="s">
        <v>20</v>
      </c>
      <c r="H51" s="6" t="n">
        <v>21</v>
      </c>
      <c r="I51" s="6" t="n">
        <v>4</v>
      </c>
      <c r="J51" s="6" t="n">
        <v>5</v>
      </c>
      <c r="K51" s="6" t="n">
        <v>3</v>
      </c>
      <c r="L51" s="13" t="s">
        <v>20</v>
      </c>
      <c r="M51" s="13" t="s">
        <v>172</v>
      </c>
      <c r="N51" s="13" t="s">
        <v>173</v>
      </c>
    </row>
    <row r="52" customFormat="false" ht="15" hidden="false" customHeight="false" outlineLevel="0" collapsed="false">
      <c r="A52" s="21" t="s">
        <v>92</v>
      </c>
      <c r="B52" s="22" t="s">
        <v>42</v>
      </c>
      <c r="C52" s="21" t="n">
        <v>31</v>
      </c>
      <c r="D52" s="21" t="n">
        <v>11</v>
      </c>
      <c r="E52" s="7" t="n">
        <v>9</v>
      </c>
      <c r="F52" s="21" t="n">
        <v>11</v>
      </c>
      <c r="G52" s="7" t="s">
        <v>64</v>
      </c>
      <c r="H52" s="21" t="n">
        <v>33</v>
      </c>
      <c r="I52" s="21" t="n">
        <v>9</v>
      </c>
      <c r="J52" s="21" t="n">
        <v>9</v>
      </c>
      <c r="K52" s="21" t="n">
        <v>8</v>
      </c>
      <c r="L52" s="13" t="s">
        <v>20</v>
      </c>
      <c r="M52" s="13" t="s">
        <v>165</v>
      </c>
      <c r="N52" s="21" t="n">
        <v>0</v>
      </c>
    </row>
    <row r="53" customFormat="false" ht="15" hidden="false" customHeight="false" outlineLevel="0" collapsed="false">
      <c r="A53" s="6" t="s">
        <v>93</v>
      </c>
      <c r="B53" s="5" t="s">
        <v>55</v>
      </c>
      <c r="C53" s="6" t="n">
        <v>29</v>
      </c>
      <c r="D53" s="6" t="n">
        <v>9</v>
      </c>
      <c r="E53" s="7" t="n">
        <v>4</v>
      </c>
      <c r="F53" s="6" t="n">
        <v>9</v>
      </c>
      <c r="G53" s="6" t="s">
        <v>20</v>
      </c>
      <c r="H53" s="6" t="n">
        <v>33</v>
      </c>
      <c r="I53" s="6" t="n">
        <v>5</v>
      </c>
      <c r="J53" s="13" t="n">
        <v>0</v>
      </c>
      <c r="K53" s="6" t="n">
        <v>4</v>
      </c>
      <c r="L53" s="13" t="s">
        <v>20</v>
      </c>
      <c r="M53" s="13" t="s">
        <v>173</v>
      </c>
      <c r="N53" s="13" t="s">
        <v>173</v>
      </c>
    </row>
    <row r="54" customFormat="false" ht="15" hidden="false" customHeight="false" outlineLevel="0" collapsed="false">
      <c r="A54" s="21" t="s">
        <v>94</v>
      </c>
      <c r="B54" s="22" t="s">
        <v>55</v>
      </c>
      <c r="C54" s="21" t="n">
        <v>25</v>
      </c>
      <c r="D54" s="21" t="n">
        <v>4</v>
      </c>
      <c r="E54" s="21" t="n">
        <v>0</v>
      </c>
      <c r="F54" s="21" t="n">
        <v>3</v>
      </c>
      <c r="G54" s="21" t="s">
        <v>20</v>
      </c>
      <c r="H54" s="21" t="n">
        <v>29</v>
      </c>
      <c r="I54" s="21" t="n">
        <v>0</v>
      </c>
      <c r="J54" s="13" t="n">
        <v>0</v>
      </c>
      <c r="K54" s="21" t="n">
        <v>0</v>
      </c>
      <c r="L54" s="13" t="s">
        <v>20</v>
      </c>
      <c r="M54" s="13" t="s">
        <v>173</v>
      </c>
      <c r="N54" s="21" t="n">
        <v>0</v>
      </c>
    </row>
    <row r="55" customFormat="false" ht="15" hidden="false" customHeight="false" outlineLevel="0" collapsed="false">
      <c r="A55" s="6" t="s">
        <v>95</v>
      </c>
      <c r="B55" s="5" t="s">
        <v>32</v>
      </c>
      <c r="C55" s="6" t="n">
        <v>8</v>
      </c>
      <c r="D55" s="6" t="n">
        <v>19</v>
      </c>
      <c r="E55" s="7" t="n">
        <v>13</v>
      </c>
      <c r="F55" s="6" t="n">
        <v>19</v>
      </c>
      <c r="G55" s="7" t="s">
        <v>64</v>
      </c>
      <c r="H55" s="6" t="n">
        <v>23</v>
      </c>
      <c r="I55" s="6" t="n">
        <v>4</v>
      </c>
      <c r="J55" s="6" t="n">
        <v>4</v>
      </c>
      <c r="K55" s="6" t="n">
        <v>5</v>
      </c>
      <c r="L55" s="13" t="s">
        <v>20</v>
      </c>
      <c r="M55" s="13" t="s">
        <v>179</v>
      </c>
      <c r="N55" s="13" t="s">
        <v>175</v>
      </c>
    </row>
    <row r="56" customFormat="false" ht="15" hidden="false" customHeight="false" outlineLevel="0" collapsed="false">
      <c r="A56" s="21" t="s">
        <v>96</v>
      </c>
      <c r="B56" s="22" t="s">
        <v>42</v>
      </c>
      <c r="C56" s="21" t="n">
        <v>31</v>
      </c>
      <c r="D56" s="21" t="n">
        <v>9</v>
      </c>
      <c r="E56" s="7" t="n">
        <v>10</v>
      </c>
      <c r="F56" s="21" t="n">
        <v>9</v>
      </c>
      <c r="G56" s="21" t="s">
        <v>20</v>
      </c>
      <c r="H56" s="21" t="n">
        <v>36</v>
      </c>
      <c r="I56" s="21" t="n">
        <v>4</v>
      </c>
      <c r="J56" s="21" t="n">
        <v>7</v>
      </c>
      <c r="K56" s="21" t="n">
        <v>5</v>
      </c>
      <c r="L56" s="13" t="s">
        <v>20</v>
      </c>
      <c r="M56" s="13" t="s">
        <v>174</v>
      </c>
      <c r="N56" s="13" t="s">
        <v>169</v>
      </c>
    </row>
    <row r="57" customFormat="false" ht="15" hidden="false" customHeight="false" outlineLevel="0" collapsed="false">
      <c r="A57" s="6" t="s">
        <v>97</v>
      </c>
      <c r="B57" s="5" t="s">
        <v>84</v>
      </c>
      <c r="C57" s="6" t="n">
        <v>18</v>
      </c>
      <c r="D57" s="6" t="n">
        <v>7</v>
      </c>
      <c r="E57" s="7" t="n">
        <v>7</v>
      </c>
      <c r="F57" s="6" t="n">
        <v>7</v>
      </c>
      <c r="G57" s="6" t="s">
        <v>20</v>
      </c>
      <c r="H57" s="6" t="n">
        <v>21</v>
      </c>
      <c r="I57" s="6" t="n">
        <v>4</v>
      </c>
      <c r="J57" s="6" t="n">
        <v>5</v>
      </c>
      <c r="K57" s="6" t="n">
        <v>4</v>
      </c>
      <c r="L57" s="13" t="s">
        <v>20</v>
      </c>
      <c r="M57" s="13" t="s">
        <v>169</v>
      </c>
      <c r="N57" s="13" t="s">
        <v>165</v>
      </c>
    </row>
    <row r="58" customFormat="false" ht="15" hidden="false" customHeight="false" outlineLevel="0" collapsed="false">
      <c r="A58" s="21" t="s">
        <v>98</v>
      </c>
      <c r="B58" s="22" t="s">
        <v>47</v>
      </c>
      <c r="C58" s="21" t="n">
        <v>18</v>
      </c>
      <c r="D58" s="21" t="n">
        <v>16</v>
      </c>
      <c r="E58" s="7" t="n">
        <v>3</v>
      </c>
      <c r="F58" s="21" t="n">
        <v>15</v>
      </c>
      <c r="G58" s="7" t="s">
        <v>64</v>
      </c>
      <c r="H58" s="21" t="n">
        <v>29</v>
      </c>
      <c r="I58" s="21" t="n">
        <v>5</v>
      </c>
      <c r="J58" s="13" t="n">
        <v>0</v>
      </c>
      <c r="K58" s="21" t="n">
        <v>4</v>
      </c>
      <c r="L58" s="13" t="s">
        <v>20</v>
      </c>
      <c r="M58" s="13" t="s">
        <v>180</v>
      </c>
      <c r="N58" s="13" t="s">
        <v>169</v>
      </c>
    </row>
    <row r="59" customFormat="false" ht="15" hidden="false" customHeight="false" outlineLevel="0" collapsed="false">
      <c r="A59" s="6" t="s">
        <v>99</v>
      </c>
      <c r="B59" s="5" t="s">
        <v>23</v>
      </c>
      <c r="C59" s="6" t="n">
        <v>6</v>
      </c>
      <c r="D59" s="6" t="n">
        <v>25</v>
      </c>
      <c r="E59" s="7" t="n">
        <v>23</v>
      </c>
      <c r="F59" s="6" t="n">
        <v>26</v>
      </c>
      <c r="G59" s="7" t="s">
        <v>64</v>
      </c>
      <c r="H59" s="6" t="n">
        <v>23</v>
      </c>
      <c r="I59" s="6" t="n">
        <v>8</v>
      </c>
      <c r="J59" s="6" t="n">
        <v>12</v>
      </c>
      <c r="K59" s="6" t="n">
        <v>7</v>
      </c>
      <c r="L59" s="13" t="s">
        <v>20</v>
      </c>
      <c r="M59" s="13" t="s">
        <v>181</v>
      </c>
      <c r="N59" s="13" t="s">
        <v>180</v>
      </c>
    </row>
    <row r="60" customFormat="false" ht="15" hidden="false" customHeight="false" outlineLevel="0" collapsed="false">
      <c r="A60" s="21" t="s">
        <v>100</v>
      </c>
      <c r="B60" s="22" t="s">
        <v>47</v>
      </c>
      <c r="C60" s="21" t="n">
        <v>15</v>
      </c>
      <c r="D60" s="21" t="n">
        <v>11</v>
      </c>
      <c r="E60" s="21" t="n">
        <v>0</v>
      </c>
      <c r="F60" s="21" t="n">
        <v>11</v>
      </c>
      <c r="G60" s="7" t="s">
        <v>64</v>
      </c>
      <c r="H60" s="21" t="n">
        <v>23</v>
      </c>
      <c r="I60" s="21" t="n">
        <v>3</v>
      </c>
      <c r="J60" s="13" t="n">
        <v>0</v>
      </c>
      <c r="K60" s="21" t="n">
        <v>4</v>
      </c>
      <c r="L60" s="13" t="s">
        <v>20</v>
      </c>
      <c r="M60" s="13" t="s">
        <v>177</v>
      </c>
      <c r="N60" s="21" t="n">
        <v>0</v>
      </c>
    </row>
    <row r="61" customFormat="false" ht="15" hidden="false" customHeight="false" outlineLevel="0" collapsed="false">
      <c r="A61" s="6" t="s">
        <v>101</v>
      </c>
      <c r="B61" s="5" t="s">
        <v>55</v>
      </c>
      <c r="C61" s="6" t="n">
        <v>27</v>
      </c>
      <c r="D61" s="6" t="n">
        <v>7</v>
      </c>
      <c r="E61" s="6" t="n">
        <v>0</v>
      </c>
      <c r="F61" s="6" t="n">
        <v>6</v>
      </c>
      <c r="G61" s="6" t="s">
        <v>20</v>
      </c>
      <c r="H61" s="6" t="n">
        <v>33</v>
      </c>
      <c r="I61" s="6" t="n">
        <v>1</v>
      </c>
      <c r="J61" s="13" t="n">
        <v>0</v>
      </c>
      <c r="K61" s="6" t="n">
        <v>0</v>
      </c>
      <c r="L61" s="13" t="s">
        <v>20</v>
      </c>
      <c r="M61" s="13" t="s">
        <v>176</v>
      </c>
      <c r="N61" s="6" t="n">
        <v>0</v>
      </c>
    </row>
    <row r="62" customFormat="false" ht="15" hidden="false" customHeight="false" outlineLevel="0" collapsed="false">
      <c r="A62" s="21" t="s">
        <v>102</v>
      </c>
      <c r="B62" s="22" t="s">
        <v>55</v>
      </c>
      <c r="C62" s="21" t="n">
        <v>26</v>
      </c>
      <c r="D62" s="21" t="n">
        <v>17</v>
      </c>
      <c r="E62" s="7" t="n">
        <v>11</v>
      </c>
      <c r="F62" s="21" t="n">
        <v>18</v>
      </c>
      <c r="G62" s="7" t="s">
        <v>64</v>
      </c>
      <c r="H62" s="21" t="n">
        <v>31</v>
      </c>
      <c r="I62" s="21" t="n">
        <v>12</v>
      </c>
      <c r="J62" s="21" t="n">
        <v>8</v>
      </c>
      <c r="K62" s="21" t="n">
        <v>12</v>
      </c>
      <c r="L62" s="7" t="s">
        <v>64</v>
      </c>
      <c r="M62" s="13" t="s">
        <v>174</v>
      </c>
      <c r="N62" s="13" t="s">
        <v>169</v>
      </c>
    </row>
    <row r="63" customFormat="false" ht="15" hidden="false" customHeight="false" outlineLevel="0" collapsed="false">
      <c r="A63" s="6" t="s">
        <v>103</v>
      </c>
      <c r="B63" s="5" t="s">
        <v>18</v>
      </c>
      <c r="C63" s="6" t="n">
        <v>28</v>
      </c>
      <c r="D63" s="6" t="n">
        <v>10</v>
      </c>
      <c r="E63" s="7" t="n">
        <v>8</v>
      </c>
      <c r="F63" s="6" t="n">
        <v>9</v>
      </c>
      <c r="G63" s="6" t="s">
        <v>20</v>
      </c>
      <c r="H63" s="6" t="n">
        <v>32</v>
      </c>
      <c r="I63" s="6" t="n">
        <v>6</v>
      </c>
      <c r="J63" s="6" t="n">
        <v>6</v>
      </c>
      <c r="K63" s="6" t="n">
        <v>6</v>
      </c>
      <c r="L63" s="13" t="s">
        <v>20</v>
      </c>
      <c r="M63" s="13" t="s">
        <v>173</v>
      </c>
      <c r="N63" s="13" t="s">
        <v>165</v>
      </c>
    </row>
    <row r="64" customFormat="false" ht="15" hidden="false" customHeight="false" outlineLevel="0" collapsed="false">
      <c r="A64" s="21" t="s">
        <v>104</v>
      </c>
      <c r="B64" s="22" t="s">
        <v>29</v>
      </c>
      <c r="C64" s="21" t="n">
        <v>15</v>
      </c>
      <c r="D64" s="21" t="n">
        <v>9</v>
      </c>
      <c r="E64" s="21" t="n">
        <v>0</v>
      </c>
      <c r="F64" s="21" t="n">
        <v>8</v>
      </c>
      <c r="G64" s="21" t="s">
        <v>20</v>
      </c>
      <c r="H64" s="21" t="n">
        <v>23</v>
      </c>
      <c r="I64" s="21" t="n">
        <v>1</v>
      </c>
      <c r="J64" s="13" t="n">
        <v>0</v>
      </c>
      <c r="K64" s="21" t="n">
        <v>2</v>
      </c>
      <c r="L64" s="13" t="s">
        <v>20</v>
      </c>
      <c r="M64" s="13" t="s">
        <v>177</v>
      </c>
      <c r="N64" s="21" t="n">
        <v>0</v>
      </c>
    </row>
    <row r="65" customFormat="false" ht="15" hidden="false" customHeight="false" outlineLevel="0" collapsed="false">
      <c r="A65" s="6" t="s">
        <v>105</v>
      </c>
      <c r="B65" s="5" t="s">
        <v>84</v>
      </c>
      <c r="C65" s="6" t="n">
        <v>19</v>
      </c>
      <c r="D65" s="6" t="n">
        <v>8</v>
      </c>
      <c r="E65" s="7" t="n">
        <v>2</v>
      </c>
      <c r="F65" s="6" t="n">
        <v>7</v>
      </c>
      <c r="G65" s="6" t="s">
        <v>20</v>
      </c>
      <c r="H65" s="6" t="n">
        <v>26</v>
      </c>
      <c r="I65" s="6" t="n">
        <v>1</v>
      </c>
      <c r="J65" s="13" t="n">
        <v>0</v>
      </c>
      <c r="K65" s="6" t="n">
        <v>2</v>
      </c>
      <c r="L65" s="13" t="s">
        <v>20</v>
      </c>
      <c r="M65" s="13" t="s">
        <v>172</v>
      </c>
      <c r="N65" s="13" t="s">
        <v>165</v>
      </c>
    </row>
    <row r="66" customFormat="false" ht="15" hidden="false" customHeight="false" outlineLevel="0" collapsed="false">
      <c r="A66" s="21" t="s">
        <v>106</v>
      </c>
      <c r="B66" s="22" t="s">
        <v>18</v>
      </c>
      <c r="C66" s="21" t="n">
        <v>31</v>
      </c>
      <c r="D66" s="21" t="n">
        <v>12</v>
      </c>
      <c r="E66" s="7" t="n">
        <v>12</v>
      </c>
      <c r="F66" s="21" t="n">
        <v>11</v>
      </c>
      <c r="G66" s="7" t="s">
        <v>64</v>
      </c>
      <c r="H66" s="21" t="n">
        <v>35</v>
      </c>
      <c r="I66" s="21" t="n">
        <v>8</v>
      </c>
      <c r="J66" s="21" t="n">
        <v>9</v>
      </c>
      <c r="K66" s="21" t="n">
        <v>9</v>
      </c>
      <c r="L66" s="13" t="s">
        <v>20</v>
      </c>
      <c r="M66" s="13" t="s">
        <v>173</v>
      </c>
      <c r="N66" s="13" t="s">
        <v>169</v>
      </c>
    </row>
    <row r="67" customFormat="false" ht="15" hidden="false" customHeight="false" outlineLevel="0" collapsed="false">
      <c r="A67" s="6" t="s">
        <v>107</v>
      </c>
      <c r="B67" s="5" t="s">
        <v>32</v>
      </c>
      <c r="C67" s="6" t="n">
        <v>10</v>
      </c>
      <c r="D67" s="6" t="n">
        <v>12</v>
      </c>
      <c r="E67" s="6" t="n">
        <v>0</v>
      </c>
      <c r="F67" s="6" t="n">
        <v>12</v>
      </c>
      <c r="G67" s="7" t="s">
        <v>64</v>
      </c>
      <c r="H67" s="6" t="n">
        <v>19</v>
      </c>
      <c r="I67" s="6" t="n">
        <v>3</v>
      </c>
      <c r="J67" s="13" t="n">
        <v>0</v>
      </c>
      <c r="K67" s="6" t="n">
        <v>4</v>
      </c>
      <c r="L67" s="13" t="s">
        <v>20</v>
      </c>
      <c r="M67" s="13" t="s">
        <v>175</v>
      </c>
      <c r="N67" s="6" t="n">
        <v>0</v>
      </c>
    </row>
    <row r="68" customFormat="false" ht="15" hidden="false" customHeight="false" outlineLevel="0" collapsed="false">
      <c r="A68" s="21" t="s">
        <v>108</v>
      </c>
      <c r="B68" s="22" t="s">
        <v>47</v>
      </c>
      <c r="C68" s="21" t="n">
        <v>22</v>
      </c>
      <c r="D68" s="21" t="n">
        <v>8</v>
      </c>
      <c r="E68" s="7" t="n">
        <v>7</v>
      </c>
      <c r="F68" s="21" t="n">
        <v>7</v>
      </c>
      <c r="G68" s="21" t="s">
        <v>20</v>
      </c>
      <c r="H68" s="21" t="n">
        <v>25</v>
      </c>
      <c r="I68" s="21" t="n">
        <v>5</v>
      </c>
      <c r="J68" s="21" t="n">
        <v>8</v>
      </c>
      <c r="K68" s="21" t="n">
        <v>6</v>
      </c>
      <c r="L68" s="13" t="s">
        <v>20</v>
      </c>
      <c r="M68" s="13" t="s">
        <v>169</v>
      </c>
      <c r="N68" s="7" t="s">
        <v>168</v>
      </c>
    </row>
    <row r="69" customFormat="false" ht="15" hidden="false" customHeight="false" outlineLevel="0" collapsed="false">
      <c r="A69" s="6" t="s">
        <v>109</v>
      </c>
      <c r="B69" s="5" t="s">
        <v>38</v>
      </c>
      <c r="C69" s="6" t="n">
        <v>28</v>
      </c>
      <c r="D69" s="6" t="n">
        <v>2</v>
      </c>
      <c r="E69" s="6" t="n">
        <v>0</v>
      </c>
      <c r="F69" s="6" t="n">
        <v>1</v>
      </c>
      <c r="G69" s="6" t="s">
        <v>20</v>
      </c>
      <c r="H69" s="6" t="n">
        <v>28</v>
      </c>
      <c r="I69" s="6" t="n">
        <v>2</v>
      </c>
      <c r="J69" s="6" t="n">
        <v>1</v>
      </c>
      <c r="K69" s="6" t="n">
        <v>3</v>
      </c>
      <c r="L69" s="13" t="s">
        <v>20</v>
      </c>
      <c r="M69" s="6" t="n">
        <v>0</v>
      </c>
      <c r="N69" s="7" t="s">
        <v>168</v>
      </c>
    </row>
    <row r="70" customFormat="false" ht="15" hidden="false" customHeight="false" outlineLevel="0" collapsed="false">
      <c r="A70" s="21" t="s">
        <v>110</v>
      </c>
      <c r="B70" s="22" t="s">
        <v>18</v>
      </c>
      <c r="C70" s="21" t="n">
        <v>28</v>
      </c>
      <c r="D70" s="21" t="n">
        <v>10</v>
      </c>
      <c r="E70" s="7" t="n">
        <v>12</v>
      </c>
      <c r="F70" s="21" t="n">
        <v>11</v>
      </c>
      <c r="G70" s="7" t="s">
        <v>64</v>
      </c>
      <c r="H70" s="21" t="n">
        <v>32</v>
      </c>
      <c r="I70" s="21" t="n">
        <v>6</v>
      </c>
      <c r="J70" s="21" t="n">
        <v>8</v>
      </c>
      <c r="K70" s="21" t="n">
        <v>7</v>
      </c>
      <c r="L70" s="13" t="s">
        <v>20</v>
      </c>
      <c r="M70" s="13" t="s">
        <v>173</v>
      </c>
      <c r="N70" s="13" t="s">
        <v>173</v>
      </c>
    </row>
    <row r="71" customFormat="false" ht="15" hidden="false" customHeight="false" outlineLevel="0" collapsed="false">
      <c r="A71" s="6" t="s">
        <v>111</v>
      </c>
      <c r="B71" s="5" t="s">
        <v>32</v>
      </c>
      <c r="C71" s="6" t="n">
        <v>10</v>
      </c>
      <c r="D71" s="6" t="n">
        <v>11</v>
      </c>
      <c r="E71" s="7" t="n">
        <v>8</v>
      </c>
      <c r="F71" s="6" t="n">
        <v>11</v>
      </c>
      <c r="G71" s="7" t="s">
        <v>64</v>
      </c>
      <c r="H71" s="6" t="n">
        <v>19</v>
      </c>
      <c r="I71" s="6" t="n">
        <v>2</v>
      </c>
      <c r="J71" s="6" t="n">
        <v>3</v>
      </c>
      <c r="K71" s="6" t="n">
        <v>2</v>
      </c>
      <c r="L71" s="13" t="s">
        <v>20</v>
      </c>
      <c r="M71" s="13" t="s">
        <v>175</v>
      </c>
      <c r="N71" s="13" t="s">
        <v>174</v>
      </c>
    </row>
    <row r="72" customFormat="false" ht="15" hidden="false" customHeight="false" outlineLevel="0" collapsed="false">
      <c r="A72" s="21" t="s">
        <v>112</v>
      </c>
      <c r="B72" s="22" t="s">
        <v>23</v>
      </c>
      <c r="C72" s="21" t="n">
        <v>13</v>
      </c>
      <c r="D72" s="21" t="n">
        <v>10</v>
      </c>
      <c r="E72" s="21" t="n">
        <v>0</v>
      </c>
      <c r="F72" s="21" t="n">
        <v>10</v>
      </c>
      <c r="G72" s="21" t="s">
        <v>20</v>
      </c>
      <c r="H72" s="21" t="n">
        <v>22</v>
      </c>
      <c r="I72" s="21" t="n">
        <v>1</v>
      </c>
      <c r="J72" s="13" t="n">
        <v>0</v>
      </c>
      <c r="K72" s="21" t="n">
        <v>1</v>
      </c>
      <c r="L72" s="13" t="s">
        <v>20</v>
      </c>
      <c r="M72" s="13" t="s">
        <v>175</v>
      </c>
      <c r="N72" s="21" t="n">
        <v>0</v>
      </c>
    </row>
    <row r="73" customFormat="false" ht="15" hidden="false" customHeight="false" outlineLevel="0" collapsed="false">
      <c r="A73" s="6" t="s">
        <v>113</v>
      </c>
      <c r="B73" s="5" t="s">
        <v>55</v>
      </c>
      <c r="C73" s="6" t="n">
        <v>27</v>
      </c>
      <c r="D73" s="6" t="n">
        <v>2</v>
      </c>
      <c r="E73" s="6" t="n">
        <v>0</v>
      </c>
      <c r="F73" s="6" t="n">
        <v>2</v>
      </c>
      <c r="G73" s="6" t="s">
        <v>20</v>
      </c>
      <c r="H73" s="6" t="n">
        <v>26</v>
      </c>
      <c r="I73" s="6" t="n">
        <v>3</v>
      </c>
      <c r="J73" s="6" t="n">
        <v>3</v>
      </c>
      <c r="K73" s="6" t="n">
        <v>2</v>
      </c>
      <c r="L73" s="13" t="s">
        <v>20</v>
      </c>
      <c r="M73" s="7" t="s">
        <v>168</v>
      </c>
      <c r="N73" s="7" t="s">
        <v>170</v>
      </c>
    </row>
    <row r="74" customFormat="false" ht="15" hidden="false" customHeight="false" outlineLevel="0" collapsed="false">
      <c r="A74" s="21" t="s">
        <v>114</v>
      </c>
      <c r="B74" s="22" t="s">
        <v>55</v>
      </c>
      <c r="C74" s="21" t="n">
        <v>28</v>
      </c>
      <c r="D74" s="21" t="n">
        <v>15</v>
      </c>
      <c r="E74" s="7" t="n">
        <v>6</v>
      </c>
      <c r="F74" s="21" t="n">
        <v>15</v>
      </c>
      <c r="G74" s="7" t="s">
        <v>64</v>
      </c>
      <c r="H74" s="21" t="n">
        <v>36</v>
      </c>
      <c r="I74" s="21" t="n">
        <v>7</v>
      </c>
      <c r="J74" s="21" t="n">
        <v>3</v>
      </c>
      <c r="K74" s="21" t="n">
        <v>8</v>
      </c>
      <c r="L74" s="13" t="s">
        <v>20</v>
      </c>
      <c r="M74" s="13" t="s">
        <v>177</v>
      </c>
      <c r="N74" s="13" t="s">
        <v>169</v>
      </c>
    </row>
    <row r="75" customFormat="false" ht="15" hidden="false" customHeight="false" outlineLevel="0" collapsed="false">
      <c r="A75" s="6" t="s">
        <v>115</v>
      </c>
      <c r="B75" s="5" t="s">
        <v>18</v>
      </c>
      <c r="C75" s="6" t="n">
        <v>26</v>
      </c>
      <c r="D75" s="6" t="n">
        <v>11</v>
      </c>
      <c r="E75" s="6" t="n">
        <v>0</v>
      </c>
      <c r="F75" s="6" t="n">
        <v>10</v>
      </c>
      <c r="G75" s="6" t="s">
        <v>20</v>
      </c>
      <c r="H75" s="6" t="n">
        <v>34</v>
      </c>
      <c r="I75" s="6" t="n">
        <v>3</v>
      </c>
      <c r="J75" s="13" t="n">
        <v>0</v>
      </c>
      <c r="K75" s="6" t="n">
        <v>2</v>
      </c>
      <c r="L75" s="13" t="s">
        <v>20</v>
      </c>
      <c r="M75" s="13" t="s">
        <v>177</v>
      </c>
      <c r="N75" s="6" t="n">
        <v>0</v>
      </c>
    </row>
    <row r="76" customFormat="false" ht="15" hidden="false" customHeight="false" outlineLevel="0" collapsed="false">
      <c r="A76" s="21" t="s">
        <v>116</v>
      </c>
      <c r="B76" s="22" t="s">
        <v>32</v>
      </c>
      <c r="C76" s="21" t="n">
        <v>12</v>
      </c>
      <c r="D76" s="21" t="n">
        <v>5</v>
      </c>
      <c r="E76" s="21" t="n">
        <v>0</v>
      </c>
      <c r="F76" s="21" t="n">
        <v>6</v>
      </c>
      <c r="G76" s="21" t="s">
        <v>20</v>
      </c>
      <c r="H76" s="21" t="n">
        <v>11</v>
      </c>
      <c r="I76" s="21" t="n">
        <v>6</v>
      </c>
      <c r="J76" s="13" t="n">
        <v>0</v>
      </c>
      <c r="K76" s="21" t="n">
        <v>5</v>
      </c>
      <c r="L76" s="13" t="s">
        <v>20</v>
      </c>
      <c r="M76" s="7" t="s">
        <v>168</v>
      </c>
      <c r="N76" s="21" t="n">
        <v>0</v>
      </c>
    </row>
    <row r="77" customFormat="false" ht="15" hidden="false" customHeight="false" outlineLevel="0" collapsed="false">
      <c r="A77" s="6" t="s">
        <v>117</v>
      </c>
      <c r="B77" s="5" t="s">
        <v>29</v>
      </c>
      <c r="C77" s="6" t="n">
        <v>19</v>
      </c>
      <c r="D77" s="6" t="n">
        <v>4</v>
      </c>
      <c r="E77" s="6" t="n">
        <v>0</v>
      </c>
      <c r="F77" s="6" t="n">
        <v>3</v>
      </c>
      <c r="G77" s="6" t="s">
        <v>20</v>
      </c>
      <c r="H77" s="6" t="n">
        <v>17</v>
      </c>
      <c r="I77" s="6" t="n">
        <v>2</v>
      </c>
      <c r="J77" s="13" t="n">
        <v>0</v>
      </c>
      <c r="K77" s="6" t="n">
        <v>3</v>
      </c>
      <c r="L77" s="13" t="s">
        <v>20</v>
      </c>
      <c r="M77" s="13" t="s">
        <v>165</v>
      </c>
      <c r="N77" s="6" t="n">
        <v>0</v>
      </c>
    </row>
    <row r="78" customFormat="false" ht="15" hidden="false" customHeight="false" outlineLevel="0" collapsed="false">
      <c r="A78" s="21" t="s">
        <v>118</v>
      </c>
      <c r="B78" s="22" t="s">
        <v>42</v>
      </c>
      <c r="C78" s="21" t="n">
        <v>33</v>
      </c>
      <c r="D78" s="21" t="n">
        <v>2</v>
      </c>
      <c r="E78" s="21" t="n">
        <v>0</v>
      </c>
      <c r="F78" s="21" t="n">
        <v>2</v>
      </c>
      <c r="G78" s="21" t="s">
        <v>20</v>
      </c>
      <c r="H78" s="21" t="n">
        <v>32</v>
      </c>
      <c r="I78" s="21" t="n">
        <v>1</v>
      </c>
      <c r="J78" s="13" t="n">
        <v>0</v>
      </c>
      <c r="K78" s="21" t="n">
        <v>0</v>
      </c>
      <c r="L78" s="13" t="s">
        <v>20</v>
      </c>
      <c r="M78" s="13" t="s">
        <v>167</v>
      </c>
      <c r="N78" s="21" t="n">
        <v>0</v>
      </c>
    </row>
    <row r="79" customFormat="false" ht="15" hidden="false" customHeight="false" outlineLevel="0" collapsed="false">
      <c r="A79" s="6" t="s">
        <v>119</v>
      </c>
      <c r="B79" s="5" t="s">
        <v>42</v>
      </c>
      <c r="C79" s="6" t="n">
        <v>29</v>
      </c>
      <c r="D79" s="6" t="n">
        <v>4</v>
      </c>
      <c r="E79" s="6" t="n">
        <v>0</v>
      </c>
      <c r="F79" s="6" t="n">
        <v>4</v>
      </c>
      <c r="G79" s="6" t="s">
        <v>20</v>
      </c>
      <c r="H79" s="6" t="n">
        <v>30</v>
      </c>
      <c r="I79" s="6" t="n">
        <v>3</v>
      </c>
      <c r="J79" s="13" t="n">
        <v>0</v>
      </c>
      <c r="K79" s="6" t="n">
        <v>3</v>
      </c>
      <c r="L79" s="13" t="s">
        <v>20</v>
      </c>
      <c r="M79" s="13" t="s">
        <v>167</v>
      </c>
      <c r="N79" s="6" t="n">
        <v>0</v>
      </c>
    </row>
    <row r="80" customFormat="false" ht="15" hidden="false" customHeight="false" outlineLevel="0" collapsed="false">
      <c r="A80" s="21" t="s">
        <v>120</v>
      </c>
      <c r="B80" s="22" t="s">
        <v>42</v>
      </c>
      <c r="C80" s="21" t="n">
        <v>27</v>
      </c>
      <c r="D80" s="21" t="n">
        <v>10</v>
      </c>
      <c r="E80" s="7" t="n">
        <v>2</v>
      </c>
      <c r="F80" s="21" t="n">
        <v>11</v>
      </c>
      <c r="G80" s="7" t="s">
        <v>64</v>
      </c>
      <c r="H80" s="21" t="n">
        <v>31</v>
      </c>
      <c r="I80" s="21" t="n">
        <v>6</v>
      </c>
      <c r="J80" s="21" t="n">
        <v>3</v>
      </c>
      <c r="K80" s="21" t="n">
        <v>5</v>
      </c>
      <c r="L80" s="13" t="s">
        <v>20</v>
      </c>
      <c r="M80" s="13" t="s">
        <v>173</v>
      </c>
      <c r="N80" s="7" t="s">
        <v>168</v>
      </c>
    </row>
    <row r="81" customFormat="false" ht="15" hidden="false" customHeight="false" outlineLevel="0" collapsed="false">
      <c r="A81" s="6" t="s">
        <v>121</v>
      </c>
      <c r="B81" s="5" t="s">
        <v>42</v>
      </c>
      <c r="C81" s="6" t="n">
        <v>34</v>
      </c>
      <c r="D81" s="6" t="n">
        <v>1</v>
      </c>
      <c r="E81" s="6" t="n">
        <v>0</v>
      </c>
      <c r="F81" s="6" t="n">
        <v>1</v>
      </c>
      <c r="G81" s="6" t="s">
        <v>20</v>
      </c>
      <c r="H81" s="6" t="n">
        <v>33</v>
      </c>
      <c r="I81" s="6" t="n">
        <v>2</v>
      </c>
      <c r="J81" s="13" t="n">
        <v>0</v>
      </c>
      <c r="K81" s="6" t="n">
        <v>1</v>
      </c>
      <c r="L81" s="13" t="s">
        <v>20</v>
      </c>
      <c r="M81" s="7" t="s">
        <v>168</v>
      </c>
      <c r="N81" s="6" t="n">
        <v>0</v>
      </c>
    </row>
    <row r="82" customFormat="false" ht="15" hidden="false" customHeight="false" outlineLevel="0" collapsed="false">
      <c r="A82" s="21" t="s">
        <v>122</v>
      </c>
      <c r="B82" s="22" t="s">
        <v>55</v>
      </c>
      <c r="C82" s="21" t="n">
        <v>24</v>
      </c>
      <c r="D82" s="21" t="n">
        <v>3</v>
      </c>
      <c r="E82" s="21" t="n">
        <v>0</v>
      </c>
      <c r="F82" s="21" t="n">
        <v>2</v>
      </c>
      <c r="G82" s="21" t="s">
        <v>20</v>
      </c>
      <c r="H82" s="21" t="n">
        <v>25</v>
      </c>
      <c r="I82" s="21" t="n">
        <v>2</v>
      </c>
      <c r="J82" s="13" t="n">
        <v>0</v>
      </c>
      <c r="K82" s="21" t="n">
        <v>3</v>
      </c>
      <c r="L82" s="13" t="s">
        <v>20</v>
      </c>
      <c r="M82" s="13" t="s">
        <v>167</v>
      </c>
      <c r="N82" s="21" t="n">
        <v>0</v>
      </c>
    </row>
    <row r="83" customFormat="false" ht="15" hidden="false" customHeight="false" outlineLevel="0" collapsed="false">
      <c r="A83" s="6" t="s">
        <v>123</v>
      </c>
      <c r="B83" s="5" t="s">
        <v>23</v>
      </c>
      <c r="C83" s="6" t="n">
        <v>10</v>
      </c>
      <c r="D83" s="6" t="n">
        <v>4</v>
      </c>
      <c r="E83" s="6" t="n">
        <v>0</v>
      </c>
      <c r="F83" s="6" t="n">
        <v>5</v>
      </c>
      <c r="G83" s="6" t="s">
        <v>20</v>
      </c>
      <c r="H83" s="6" t="n">
        <v>13</v>
      </c>
      <c r="I83" s="6" t="n">
        <v>1</v>
      </c>
      <c r="J83" s="13" t="n">
        <v>0</v>
      </c>
      <c r="K83" s="6" t="n">
        <v>0</v>
      </c>
      <c r="L83" s="13" t="s">
        <v>20</v>
      </c>
      <c r="M83" s="13" t="s">
        <v>169</v>
      </c>
      <c r="N83" s="6" t="n">
        <v>0</v>
      </c>
    </row>
    <row r="84" customFormat="false" ht="15" hidden="false" customHeight="false" outlineLevel="0" collapsed="false">
      <c r="A84" s="21" t="s">
        <v>124</v>
      </c>
      <c r="B84" s="22" t="s">
        <v>84</v>
      </c>
      <c r="C84" s="21" t="n">
        <v>11</v>
      </c>
      <c r="D84" s="21" t="n">
        <v>10</v>
      </c>
      <c r="E84" s="21" t="n">
        <v>0</v>
      </c>
      <c r="F84" s="21" t="n">
        <v>10</v>
      </c>
      <c r="G84" s="21" t="s">
        <v>20</v>
      </c>
      <c r="H84" s="21" t="n">
        <v>21</v>
      </c>
      <c r="I84" s="21" t="n">
        <v>0</v>
      </c>
      <c r="J84" s="13" t="n">
        <v>0</v>
      </c>
      <c r="K84" s="21" t="n">
        <v>1</v>
      </c>
      <c r="L84" s="13" t="s">
        <v>20</v>
      </c>
      <c r="M84" s="13" t="s">
        <v>178</v>
      </c>
      <c r="N84" s="21" t="n">
        <v>0</v>
      </c>
    </row>
    <row r="85" customFormat="false" ht="15" hidden="false" customHeight="false" outlineLevel="0" collapsed="false">
      <c r="A85" s="6" t="s">
        <v>125</v>
      </c>
      <c r="B85" s="5" t="s">
        <v>42</v>
      </c>
      <c r="C85" s="6" t="n">
        <v>34</v>
      </c>
      <c r="D85" s="6" t="n">
        <v>3</v>
      </c>
      <c r="E85" s="6" t="n">
        <v>0</v>
      </c>
      <c r="F85" s="6" t="n">
        <v>3</v>
      </c>
      <c r="G85" s="6" t="s">
        <v>20</v>
      </c>
      <c r="H85" s="6" t="n">
        <v>37</v>
      </c>
      <c r="I85" s="6" t="n">
        <v>0</v>
      </c>
      <c r="J85" s="13" t="n">
        <v>0</v>
      </c>
      <c r="K85" s="6" t="n">
        <v>0</v>
      </c>
      <c r="L85" s="13" t="s">
        <v>20</v>
      </c>
      <c r="M85" s="13" t="s">
        <v>169</v>
      </c>
      <c r="N85" s="6" t="n">
        <v>0</v>
      </c>
    </row>
    <row r="86" customFormat="false" ht="15" hidden="false" customHeight="false" outlineLevel="0" collapsed="false">
      <c r="A86" s="21" t="s">
        <v>126</v>
      </c>
      <c r="B86" s="22" t="s">
        <v>47</v>
      </c>
      <c r="C86" s="21" t="n">
        <v>19</v>
      </c>
      <c r="D86" s="21" t="n">
        <v>13</v>
      </c>
      <c r="E86" s="7" t="n">
        <v>9</v>
      </c>
      <c r="F86" s="21" t="n">
        <v>14</v>
      </c>
      <c r="G86" s="7" t="s">
        <v>64</v>
      </c>
      <c r="H86" s="21" t="n">
        <v>27</v>
      </c>
      <c r="I86" s="21" t="n">
        <v>5</v>
      </c>
      <c r="J86" s="21" t="n">
        <v>6</v>
      </c>
      <c r="K86" s="21" t="n">
        <v>4</v>
      </c>
      <c r="L86" s="13" t="s">
        <v>20</v>
      </c>
      <c r="M86" s="13" t="s">
        <v>177</v>
      </c>
      <c r="N86" s="13" t="s">
        <v>169</v>
      </c>
    </row>
    <row r="87" customFormat="false" ht="15" hidden="false" customHeight="false" outlineLevel="0" collapsed="false">
      <c r="A87" s="6" t="s">
        <v>127</v>
      </c>
      <c r="B87" s="5" t="s">
        <v>47</v>
      </c>
      <c r="C87" s="6" t="n">
        <v>22</v>
      </c>
      <c r="D87" s="6" t="n">
        <v>9</v>
      </c>
      <c r="E87" s="7" t="n">
        <v>1</v>
      </c>
      <c r="F87" s="6" t="n">
        <v>10</v>
      </c>
      <c r="G87" s="6" t="s">
        <v>20</v>
      </c>
      <c r="H87" s="6" t="n">
        <v>24</v>
      </c>
      <c r="I87" s="6" t="n">
        <v>7</v>
      </c>
      <c r="J87" s="13" t="n">
        <v>0</v>
      </c>
      <c r="K87" s="6" t="n">
        <v>6</v>
      </c>
      <c r="L87" s="13" t="s">
        <v>20</v>
      </c>
      <c r="M87" s="13" t="s">
        <v>165</v>
      </c>
      <c r="N87" s="13" t="s">
        <v>167</v>
      </c>
    </row>
    <row r="88" customFormat="false" ht="15" hidden="false" customHeight="false" outlineLevel="0" collapsed="false">
      <c r="A88" s="21" t="s">
        <v>128</v>
      </c>
      <c r="B88" s="22" t="s">
        <v>47</v>
      </c>
      <c r="C88" s="21" t="n">
        <v>20</v>
      </c>
      <c r="D88" s="21" t="n">
        <v>9</v>
      </c>
      <c r="E88" s="7" t="n">
        <v>3</v>
      </c>
      <c r="F88" s="21" t="n">
        <v>10</v>
      </c>
      <c r="G88" s="21" t="s">
        <v>20</v>
      </c>
      <c r="H88" s="21" t="n">
        <v>25</v>
      </c>
      <c r="I88" s="21" t="n">
        <v>4</v>
      </c>
      <c r="J88" s="21" t="n">
        <v>1</v>
      </c>
      <c r="K88" s="21" t="n">
        <v>3</v>
      </c>
      <c r="L88" s="13" t="s">
        <v>20</v>
      </c>
      <c r="M88" s="13" t="s">
        <v>174</v>
      </c>
      <c r="N88" s="13" t="s">
        <v>165</v>
      </c>
    </row>
    <row r="89" customFormat="false" ht="15" hidden="false" customHeight="false" outlineLevel="0" collapsed="false">
      <c r="A89" s="6" t="s">
        <v>129</v>
      </c>
      <c r="B89" s="5" t="s">
        <v>29</v>
      </c>
      <c r="C89" s="6" t="n">
        <v>14</v>
      </c>
      <c r="D89" s="6" t="n">
        <v>9</v>
      </c>
      <c r="E89" s="7" t="n">
        <v>6</v>
      </c>
      <c r="F89" s="6" t="n">
        <v>10</v>
      </c>
      <c r="G89" s="6" t="s">
        <v>20</v>
      </c>
      <c r="H89" s="6" t="n">
        <v>19</v>
      </c>
      <c r="I89" s="6" t="n">
        <v>4</v>
      </c>
      <c r="J89" s="6" t="n">
        <v>3</v>
      </c>
      <c r="K89" s="6" t="n">
        <v>5</v>
      </c>
      <c r="L89" s="13" t="s">
        <v>20</v>
      </c>
      <c r="M89" s="13" t="s">
        <v>174</v>
      </c>
      <c r="N89" s="13" t="s">
        <v>169</v>
      </c>
    </row>
    <row r="90" customFormat="false" ht="15" hidden="false" customHeight="false" outlineLevel="0" collapsed="false">
      <c r="A90" s="21" t="s">
        <v>130</v>
      </c>
      <c r="B90" s="22" t="s">
        <v>55</v>
      </c>
      <c r="C90" s="21" t="n">
        <v>29</v>
      </c>
      <c r="D90" s="21" t="n">
        <v>2</v>
      </c>
      <c r="E90" s="21" t="n">
        <v>0</v>
      </c>
      <c r="F90" s="21" t="n">
        <v>1</v>
      </c>
      <c r="G90" s="21" t="s">
        <v>20</v>
      </c>
      <c r="H90" s="21" t="n">
        <v>29</v>
      </c>
      <c r="I90" s="21" t="n">
        <v>2</v>
      </c>
      <c r="J90" s="13" t="n">
        <v>0</v>
      </c>
      <c r="K90" s="21" t="n">
        <v>1</v>
      </c>
      <c r="L90" s="13" t="s">
        <v>20</v>
      </c>
      <c r="M90" s="21" t="n">
        <v>0</v>
      </c>
      <c r="N90" s="21" t="n">
        <v>0</v>
      </c>
    </row>
    <row r="91" customFormat="false" ht="15" hidden="false" customHeight="false" outlineLevel="0" collapsed="false">
      <c r="A91" s="6" t="s">
        <v>131</v>
      </c>
      <c r="B91" s="5" t="s">
        <v>32</v>
      </c>
      <c r="C91" s="6" t="n">
        <v>7</v>
      </c>
      <c r="D91" s="6" t="n">
        <v>12</v>
      </c>
      <c r="E91" s="7" t="n">
        <v>6</v>
      </c>
      <c r="F91" s="6" t="n">
        <v>12</v>
      </c>
      <c r="G91" s="7" t="s">
        <v>64</v>
      </c>
      <c r="H91" s="6" t="n">
        <v>16</v>
      </c>
      <c r="I91" s="6" t="n">
        <v>3</v>
      </c>
      <c r="J91" s="6" t="n">
        <v>1</v>
      </c>
      <c r="K91" s="6" t="n">
        <v>4</v>
      </c>
      <c r="L91" s="13" t="s">
        <v>20</v>
      </c>
      <c r="M91" s="13" t="s">
        <v>175</v>
      </c>
      <c r="N91" s="13" t="s">
        <v>174</v>
      </c>
    </row>
    <row r="92" customFormat="false" ht="15" hidden="false" customHeight="false" outlineLevel="0" collapsed="false">
      <c r="A92" s="21" t="s">
        <v>132</v>
      </c>
      <c r="B92" s="22" t="s">
        <v>29</v>
      </c>
      <c r="C92" s="21" t="n">
        <v>10</v>
      </c>
      <c r="D92" s="21" t="n">
        <v>14</v>
      </c>
      <c r="E92" s="7" t="n">
        <v>11</v>
      </c>
      <c r="F92" s="21" t="n">
        <v>14</v>
      </c>
      <c r="G92" s="7" t="s">
        <v>64</v>
      </c>
      <c r="H92" s="21" t="n">
        <v>21</v>
      </c>
      <c r="I92" s="21" t="n">
        <v>3</v>
      </c>
      <c r="J92" s="21" t="n">
        <v>3</v>
      </c>
      <c r="K92" s="21" t="n">
        <v>3</v>
      </c>
      <c r="L92" s="13" t="s">
        <v>20</v>
      </c>
      <c r="M92" s="13" t="s">
        <v>180</v>
      </c>
      <c r="N92" s="13" t="s">
        <v>177</v>
      </c>
    </row>
    <row r="93" customFormat="false" ht="15" hidden="false" customHeight="false" outlineLevel="0" collapsed="false">
      <c r="A93" s="6" t="s">
        <v>133</v>
      </c>
      <c r="B93" s="5" t="s">
        <v>47</v>
      </c>
      <c r="C93" s="6" t="n">
        <v>21</v>
      </c>
      <c r="D93" s="6" t="n">
        <v>2</v>
      </c>
      <c r="E93" s="7" t="n">
        <v>2</v>
      </c>
      <c r="F93" s="6" t="n">
        <v>1</v>
      </c>
      <c r="G93" s="6" t="s">
        <v>20</v>
      </c>
      <c r="H93" s="6" t="n">
        <v>26</v>
      </c>
      <c r="I93" s="6" t="n">
        <v>3</v>
      </c>
      <c r="J93" s="13" t="n">
        <v>0</v>
      </c>
      <c r="K93" s="6" t="n">
        <v>3</v>
      </c>
      <c r="L93" s="13" t="s">
        <v>20</v>
      </c>
      <c r="M93" s="7" t="s">
        <v>168</v>
      </c>
      <c r="N93" s="13" t="s">
        <v>165</v>
      </c>
    </row>
    <row r="94" customFormat="false" ht="15" hidden="false" customHeight="false" outlineLevel="0" collapsed="false">
      <c r="A94" s="21" t="s">
        <v>134</v>
      </c>
      <c r="B94" s="22" t="s">
        <v>55</v>
      </c>
      <c r="C94" s="21" t="n">
        <v>29</v>
      </c>
      <c r="D94" s="21" t="n">
        <v>10</v>
      </c>
      <c r="E94" s="7" t="n">
        <v>5</v>
      </c>
      <c r="F94" s="21" t="n">
        <v>9</v>
      </c>
      <c r="G94" s="21" t="s">
        <v>20</v>
      </c>
      <c r="H94" s="21" t="n">
        <v>35</v>
      </c>
      <c r="I94" s="21" t="n">
        <v>4</v>
      </c>
      <c r="J94" s="13" t="n">
        <v>0</v>
      </c>
      <c r="K94" s="21" t="n">
        <v>4</v>
      </c>
      <c r="L94" s="13" t="s">
        <v>20</v>
      </c>
      <c r="M94" s="13" t="s">
        <v>176</v>
      </c>
      <c r="N94" s="13" t="s">
        <v>174</v>
      </c>
    </row>
    <row r="95" customFormat="false" ht="15" hidden="false" customHeight="false" outlineLevel="0" collapsed="false">
      <c r="A95" s="6" t="s">
        <v>135</v>
      </c>
      <c r="B95" s="5" t="s">
        <v>47</v>
      </c>
      <c r="C95" s="6" t="n">
        <v>16</v>
      </c>
      <c r="D95" s="6" t="n">
        <v>7</v>
      </c>
      <c r="E95" s="7" t="n">
        <v>7</v>
      </c>
      <c r="F95" s="6" t="n">
        <v>6</v>
      </c>
      <c r="G95" s="6" t="s">
        <v>20</v>
      </c>
      <c r="H95" s="6" t="n">
        <v>22</v>
      </c>
      <c r="I95" s="6" t="n">
        <v>1</v>
      </c>
      <c r="J95" s="6" t="n">
        <v>3</v>
      </c>
      <c r="K95" s="6" t="n">
        <v>0</v>
      </c>
      <c r="L95" s="13" t="s">
        <v>20</v>
      </c>
      <c r="M95" s="13" t="s">
        <v>176</v>
      </c>
      <c r="N95" s="13" t="s">
        <v>173</v>
      </c>
    </row>
    <row r="96" customFormat="false" ht="15" hidden="false" customHeight="false" outlineLevel="0" collapsed="false">
      <c r="A96" s="21" t="s">
        <v>136</v>
      </c>
      <c r="B96" s="22" t="s">
        <v>29</v>
      </c>
      <c r="C96" s="21" t="n">
        <v>14</v>
      </c>
      <c r="D96" s="21" t="n">
        <v>1</v>
      </c>
      <c r="E96" s="21" t="n">
        <v>0</v>
      </c>
      <c r="F96" s="21" t="n">
        <v>2</v>
      </c>
      <c r="G96" s="21" t="s">
        <v>20</v>
      </c>
      <c r="H96" s="21" t="n">
        <v>16</v>
      </c>
      <c r="I96" s="21" t="n">
        <v>3</v>
      </c>
      <c r="J96" s="13" t="n">
        <v>0</v>
      </c>
      <c r="K96" s="21" t="n">
        <v>2</v>
      </c>
      <c r="L96" s="13" t="s">
        <v>20</v>
      </c>
      <c r="M96" s="7" t="s">
        <v>166</v>
      </c>
      <c r="N96" s="21" t="n">
        <v>0</v>
      </c>
    </row>
    <row r="97" customFormat="false" ht="15" hidden="false" customHeight="false" outlineLevel="0" collapsed="false">
      <c r="A97" s="6" t="s">
        <v>137</v>
      </c>
      <c r="B97" s="5" t="s">
        <v>38</v>
      </c>
      <c r="C97" s="6" t="n">
        <v>20</v>
      </c>
      <c r="D97" s="6" t="n">
        <v>4</v>
      </c>
      <c r="E97" s="7" t="n">
        <v>1</v>
      </c>
      <c r="F97" s="6" t="n">
        <v>5</v>
      </c>
      <c r="G97" s="6" t="s">
        <v>20</v>
      </c>
      <c r="H97" s="6" t="n">
        <v>25</v>
      </c>
      <c r="I97" s="6" t="n">
        <v>1</v>
      </c>
      <c r="J97" s="13" t="n">
        <v>0</v>
      </c>
      <c r="K97" s="6" t="n">
        <v>2</v>
      </c>
      <c r="L97" s="13" t="s">
        <v>20</v>
      </c>
      <c r="M97" s="13" t="s">
        <v>169</v>
      </c>
      <c r="N97" s="13" t="s">
        <v>167</v>
      </c>
    </row>
    <row r="98" customFormat="false" ht="15" hidden="false" customHeight="false" outlineLevel="0" collapsed="false">
      <c r="A98" s="21" t="s">
        <v>138</v>
      </c>
      <c r="B98" s="22" t="s">
        <v>55</v>
      </c>
      <c r="C98" s="21" t="n">
        <v>24</v>
      </c>
      <c r="D98" s="21" t="n">
        <v>1</v>
      </c>
      <c r="E98" s="21" t="n">
        <v>0</v>
      </c>
      <c r="F98" s="21" t="n">
        <v>1</v>
      </c>
      <c r="G98" s="21" t="s">
        <v>20</v>
      </c>
      <c r="H98" s="21" t="n">
        <v>29</v>
      </c>
      <c r="I98" s="21" t="n">
        <v>4</v>
      </c>
      <c r="J98" s="13" t="n">
        <v>0</v>
      </c>
      <c r="K98" s="21" t="n">
        <v>4</v>
      </c>
      <c r="L98" s="13" t="s">
        <v>20</v>
      </c>
      <c r="M98" s="7" t="s">
        <v>170</v>
      </c>
      <c r="N98" s="21" t="n">
        <v>0</v>
      </c>
    </row>
    <row r="99" customFormat="false" ht="15" hidden="false" customHeight="false" outlineLevel="0" collapsed="false">
      <c r="A99" s="6" t="s">
        <v>139</v>
      </c>
      <c r="B99" s="5" t="s">
        <v>84</v>
      </c>
      <c r="C99" s="6" t="n">
        <v>18</v>
      </c>
      <c r="D99" s="6" t="n">
        <v>8</v>
      </c>
      <c r="E99" s="6" t="n">
        <v>0</v>
      </c>
      <c r="F99" s="6" t="n">
        <v>9</v>
      </c>
      <c r="G99" s="6" t="s">
        <v>20</v>
      </c>
      <c r="H99" s="6" t="n">
        <v>24</v>
      </c>
      <c r="I99" s="6" t="n">
        <v>2</v>
      </c>
      <c r="J99" s="13" t="n">
        <v>0</v>
      </c>
      <c r="K99" s="6" t="n">
        <v>2</v>
      </c>
      <c r="L99" s="13" t="s">
        <v>20</v>
      </c>
      <c r="M99" s="13" t="s">
        <v>176</v>
      </c>
      <c r="N99" s="6" t="n">
        <v>0</v>
      </c>
    </row>
    <row r="100" customFormat="false" ht="15" hidden="false" customHeight="false" outlineLevel="0" collapsed="false">
      <c r="A100" s="21" t="s">
        <v>140</v>
      </c>
      <c r="B100" s="22" t="s">
        <v>38</v>
      </c>
      <c r="C100" s="21" t="n">
        <v>25</v>
      </c>
      <c r="D100" s="21" t="n">
        <v>12</v>
      </c>
      <c r="E100" s="7" t="n">
        <v>7</v>
      </c>
      <c r="F100" s="21" t="n">
        <v>12</v>
      </c>
      <c r="G100" s="7" t="s">
        <v>64</v>
      </c>
      <c r="H100" s="21" t="n">
        <v>30</v>
      </c>
      <c r="I100" s="21" t="n">
        <v>7</v>
      </c>
      <c r="J100" s="21" t="n">
        <v>3</v>
      </c>
      <c r="K100" s="21" t="n">
        <v>7</v>
      </c>
      <c r="L100" s="13" t="s">
        <v>20</v>
      </c>
      <c r="M100" s="13" t="s">
        <v>174</v>
      </c>
      <c r="N100" s="13" t="s">
        <v>173</v>
      </c>
    </row>
    <row r="101" customFormat="false" ht="15" hidden="false" customHeight="false" outlineLevel="0" collapsed="false">
      <c r="A101" s="6" t="s">
        <v>141</v>
      </c>
      <c r="B101" s="5" t="s">
        <v>29</v>
      </c>
      <c r="C101" s="6" t="n">
        <v>15</v>
      </c>
      <c r="D101" s="6" t="n">
        <v>13</v>
      </c>
      <c r="E101" s="7" t="n">
        <v>6</v>
      </c>
      <c r="F101" s="6" t="n">
        <v>14</v>
      </c>
      <c r="G101" s="7" t="s">
        <v>64</v>
      </c>
      <c r="H101" s="6" t="n">
        <v>20</v>
      </c>
      <c r="I101" s="6" t="n">
        <v>8</v>
      </c>
      <c r="J101" s="6" t="n">
        <v>5</v>
      </c>
      <c r="K101" s="6" t="n">
        <v>7</v>
      </c>
      <c r="L101" s="13" t="s">
        <v>20</v>
      </c>
      <c r="M101" s="13" t="s">
        <v>174</v>
      </c>
      <c r="N101" s="13" t="s">
        <v>167</v>
      </c>
    </row>
    <row r="102" customFormat="false" ht="15" hidden="false" customHeight="false" outlineLevel="0" collapsed="false">
      <c r="A102" s="21" t="s">
        <v>142</v>
      </c>
      <c r="B102" s="22" t="s">
        <v>84</v>
      </c>
      <c r="C102" s="21" t="n">
        <v>15</v>
      </c>
      <c r="D102" s="21" t="n">
        <v>9</v>
      </c>
      <c r="E102" s="7" t="n">
        <v>6</v>
      </c>
      <c r="F102" s="21" t="n">
        <v>9</v>
      </c>
      <c r="G102" s="21" t="s">
        <v>20</v>
      </c>
      <c r="H102" s="21" t="n">
        <v>20</v>
      </c>
      <c r="I102" s="21" t="n">
        <v>4</v>
      </c>
      <c r="J102" s="21" t="n">
        <v>5</v>
      </c>
      <c r="K102" s="21" t="n">
        <v>5</v>
      </c>
      <c r="L102" s="13" t="s">
        <v>20</v>
      </c>
      <c r="M102" s="13" t="s">
        <v>174</v>
      </c>
      <c r="N102" s="13" t="s">
        <v>167</v>
      </c>
    </row>
    <row r="103" customFormat="false" ht="15" hidden="false" customHeight="false" outlineLevel="0" collapsed="false">
      <c r="A103" s="6" t="s">
        <v>143</v>
      </c>
      <c r="B103" s="5" t="s">
        <v>47</v>
      </c>
      <c r="C103" s="6" t="n">
        <v>19</v>
      </c>
      <c r="D103" s="6" t="n">
        <v>13</v>
      </c>
      <c r="E103" s="7" t="n">
        <v>8</v>
      </c>
      <c r="F103" s="6" t="n">
        <v>14</v>
      </c>
      <c r="G103" s="7" t="s">
        <v>64</v>
      </c>
      <c r="H103" s="6" t="n">
        <v>28</v>
      </c>
      <c r="I103" s="6" t="n">
        <v>4</v>
      </c>
      <c r="J103" s="6" t="n">
        <v>2</v>
      </c>
      <c r="K103" s="6" t="n">
        <v>5</v>
      </c>
      <c r="L103" s="13" t="s">
        <v>20</v>
      </c>
      <c r="M103" s="13" t="s">
        <v>175</v>
      </c>
      <c r="N103" s="13" t="s">
        <v>176</v>
      </c>
    </row>
  </sheetData>
  <mergeCells count="5">
    <mergeCell ref="A1:N1"/>
    <mergeCell ref="A2:B2"/>
    <mergeCell ref="C2:G2"/>
    <mergeCell ref="H2:L2"/>
    <mergeCell ref="M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11" min="8" style="0" width="8"/>
    <col collapsed="false" customWidth="true" hidden="false" outlineLevel="0" max="12" min="12" style="0" width="14"/>
  </cols>
  <sheetData>
    <row r="1" customFormat="false" ht="31.5" hidden="false" customHeight="true" outlineLevel="0" collapsed="false">
      <c r="A1" s="23" t="s">
        <v>182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customFormat="false" ht="21.75" hidden="false" customHeight="true" outlineLevel="0" collapsed="false">
      <c r="A3" s="24" t="s">
        <v>183</v>
      </c>
      <c r="B3" s="24"/>
      <c r="C3" s="24"/>
    </row>
    <row r="4" customFormat="false" ht="19.5" hidden="false" customHeight="true" outlineLevel="0" collapsed="false">
      <c r="A4" s="25" t="s">
        <v>184</v>
      </c>
      <c r="B4" s="25" t="s">
        <v>185</v>
      </c>
      <c r="C4" s="25" t="s">
        <v>186</v>
      </c>
      <c r="D4" s="25" t="s">
        <v>187</v>
      </c>
    </row>
    <row r="5" customFormat="false" ht="19.5" hidden="false" customHeight="true" outlineLevel="0" collapsed="false">
      <c r="A5" s="26" t="s">
        <v>188</v>
      </c>
      <c r="B5" s="27" t="n">
        <v>7.88</v>
      </c>
      <c r="C5" s="28" t="n">
        <v>4.08</v>
      </c>
      <c r="D5" s="29" t="s">
        <v>189</v>
      </c>
    </row>
    <row r="6" customFormat="false" ht="19.5" hidden="false" customHeight="true" outlineLevel="0" collapsed="false">
      <c r="A6" s="26" t="s">
        <v>190</v>
      </c>
      <c r="B6" s="27" t="n">
        <v>4.1</v>
      </c>
      <c r="C6" s="28" t="n">
        <v>2.83</v>
      </c>
      <c r="D6" s="29" t="s">
        <v>191</v>
      </c>
    </row>
    <row r="7" customFormat="false" ht="19.5" hidden="false" customHeight="true" outlineLevel="0" collapsed="false">
      <c r="A7" s="26" t="s">
        <v>192</v>
      </c>
      <c r="B7" s="27" t="n">
        <v>7.86</v>
      </c>
      <c r="C7" s="28" t="n">
        <v>4.11</v>
      </c>
      <c r="D7" s="29" t="s">
        <v>193</v>
      </c>
    </row>
    <row r="8" customFormat="false" ht="19.5" hidden="false" customHeight="true" outlineLevel="0" collapsed="false">
      <c r="A8" s="26" t="s">
        <v>194</v>
      </c>
      <c r="B8" s="27" t="n">
        <v>28</v>
      </c>
      <c r="C8" s="28" t="n">
        <v>3</v>
      </c>
      <c r="D8" s="29" t="s">
        <v>195</v>
      </c>
    </row>
    <row r="9" customFormat="false" ht="19.5" hidden="false" customHeight="true" outlineLevel="0" collapsed="false">
      <c r="A9" s="26" t="s">
        <v>196</v>
      </c>
      <c r="B9" s="27" t="s">
        <v>197</v>
      </c>
      <c r="C9" s="28" t="s">
        <v>198</v>
      </c>
      <c r="D9" s="29" t="s">
        <v>199</v>
      </c>
    </row>
    <row r="10" customFormat="false" ht="19.5" hidden="false" customHeight="true" outlineLevel="0" collapsed="false">
      <c r="A10" s="26" t="s">
        <v>200</v>
      </c>
      <c r="B10" s="27" t="n">
        <v>45</v>
      </c>
      <c r="C10" s="28" t="n">
        <v>47</v>
      </c>
      <c r="D10" s="29" t="s">
        <v>201</v>
      </c>
    </row>
    <row r="13" customFormat="false" ht="21.75" hidden="false" customHeight="true" outlineLevel="0" collapsed="false">
      <c r="A13" s="30" t="s">
        <v>202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customFormat="false" ht="18" hidden="false" customHeight="true" outlineLevel="0" collapsed="false">
      <c r="A14" s="31" t="s">
        <v>203</v>
      </c>
      <c r="B14" s="31" t="s">
        <v>204</v>
      </c>
      <c r="C14" s="31" t="s">
        <v>205</v>
      </c>
      <c r="D14" s="31" t="s">
        <v>206</v>
      </c>
      <c r="E14" s="31" t="s">
        <v>207</v>
      </c>
      <c r="F14" s="31" t="s">
        <v>208</v>
      </c>
    </row>
    <row r="15" customFormat="false" ht="18" hidden="false" customHeight="true" outlineLevel="0" collapsed="false">
      <c r="A15" s="32" t="s">
        <v>209</v>
      </c>
      <c r="B15" s="32" t="s">
        <v>210</v>
      </c>
      <c r="C15" s="33" t="n">
        <v>2.03</v>
      </c>
      <c r="D15" s="34" t="n">
        <v>7.81</v>
      </c>
      <c r="E15" s="34" t="s">
        <v>211</v>
      </c>
      <c r="F15" s="32" t="s">
        <v>212</v>
      </c>
    </row>
    <row r="16" customFormat="false" ht="18" hidden="false" customHeight="true" outlineLevel="0" collapsed="false">
      <c r="A16" s="5" t="s">
        <v>213</v>
      </c>
      <c r="B16" s="5" t="s">
        <v>214</v>
      </c>
      <c r="C16" s="35" t="n">
        <v>1.84</v>
      </c>
      <c r="D16" s="6" t="n">
        <v>3</v>
      </c>
      <c r="E16" s="6" t="s">
        <v>215</v>
      </c>
      <c r="F16" s="5" t="s">
        <v>216</v>
      </c>
    </row>
    <row r="17" customFormat="false" ht="18" hidden="false" customHeight="true" outlineLevel="0" collapsed="false">
      <c r="A17" s="32" t="s">
        <v>217</v>
      </c>
      <c r="B17" s="32" t="s">
        <v>218</v>
      </c>
      <c r="C17" s="35" t="n">
        <v>1.6</v>
      </c>
      <c r="D17" s="34" t="n">
        <v>2.84</v>
      </c>
      <c r="E17" s="34" t="s">
        <v>211</v>
      </c>
      <c r="F17" s="32" t="s">
        <v>219</v>
      </c>
    </row>
    <row r="18" customFormat="false" ht="18" hidden="false" customHeight="true" outlineLevel="0" collapsed="false">
      <c r="A18" s="5" t="s">
        <v>220</v>
      </c>
      <c r="B18" s="5" t="s">
        <v>221</v>
      </c>
      <c r="C18" s="35" t="n">
        <v>0.11</v>
      </c>
      <c r="D18" s="6" t="n">
        <v>0.8</v>
      </c>
      <c r="E18" s="6" t="s">
        <v>222</v>
      </c>
      <c r="F18" s="5" t="s">
        <v>223</v>
      </c>
    </row>
    <row r="19" customFormat="false" ht="18" hidden="false" customHeight="true" outlineLevel="0" collapsed="false">
      <c r="A19" s="32" t="s">
        <v>224</v>
      </c>
      <c r="B19" s="32" t="s">
        <v>225</v>
      </c>
      <c r="C19" s="36" t="n">
        <v>4.3</v>
      </c>
      <c r="D19" s="34" t="n">
        <v>11.4</v>
      </c>
      <c r="E19" s="34" t="s">
        <v>211</v>
      </c>
      <c r="F19" s="32" t="s">
        <v>226</v>
      </c>
    </row>
    <row r="20" customFormat="false" ht="18" hidden="false" customHeight="true" outlineLevel="0" collapsed="false">
      <c r="A20" s="5" t="s">
        <v>227</v>
      </c>
      <c r="B20" s="5" t="s">
        <v>228</v>
      </c>
      <c r="C20" s="35" t="n">
        <v>0.79</v>
      </c>
      <c r="D20" s="6" t="n">
        <v>0.95</v>
      </c>
      <c r="E20" s="6" t="s">
        <v>211</v>
      </c>
      <c r="F20" s="5" t="s">
        <v>229</v>
      </c>
    </row>
    <row r="23" customFormat="false" ht="21.75" hidden="false" customHeight="true" outlineLevel="0" collapsed="false">
      <c r="A23" s="37" t="s">
        <v>230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customFormat="false" ht="30" hidden="false" customHeight="true" outlineLevel="0" collapsed="false">
      <c r="A24" s="38" t="s">
        <v>2</v>
      </c>
      <c r="B24" s="38" t="s">
        <v>231</v>
      </c>
      <c r="C24" s="38" t="s">
        <v>232</v>
      </c>
      <c r="D24" s="38" t="s">
        <v>233</v>
      </c>
      <c r="E24" s="38" t="s">
        <v>234</v>
      </c>
      <c r="F24" s="38" t="s">
        <v>235</v>
      </c>
      <c r="G24" s="38" t="s">
        <v>236</v>
      </c>
      <c r="H24" s="38" t="s">
        <v>237</v>
      </c>
      <c r="I24" s="38" t="s">
        <v>238</v>
      </c>
      <c r="J24" s="38" t="s">
        <v>239</v>
      </c>
      <c r="K24" s="38" t="s">
        <v>240</v>
      </c>
      <c r="L24" s="38" t="s">
        <v>241</v>
      </c>
    </row>
    <row r="25" customFormat="false" ht="18" hidden="false" customHeight="true" outlineLevel="0" collapsed="false">
      <c r="A25" s="39" t="s">
        <v>42</v>
      </c>
      <c r="B25" s="40" t="n">
        <v>13</v>
      </c>
      <c r="C25" s="40" t="n">
        <v>6.46</v>
      </c>
      <c r="D25" s="40" t="n">
        <v>4</v>
      </c>
      <c r="E25" s="13" t="s">
        <v>242</v>
      </c>
      <c r="F25" s="40" t="n">
        <v>4.31</v>
      </c>
      <c r="G25" s="40" t="n">
        <v>4.15</v>
      </c>
      <c r="H25" s="13" t="s">
        <v>243</v>
      </c>
      <c r="I25" s="40" t="n">
        <v>4</v>
      </c>
      <c r="J25" s="40" t="n">
        <v>0</v>
      </c>
      <c r="K25" s="13" t="s">
        <v>244</v>
      </c>
      <c r="L25" s="40" t="s">
        <v>13</v>
      </c>
    </row>
    <row r="26" customFormat="false" ht="18" hidden="false" customHeight="true" outlineLevel="0" collapsed="false">
      <c r="A26" s="5" t="s">
        <v>29</v>
      </c>
      <c r="B26" s="6" t="n">
        <v>9</v>
      </c>
      <c r="C26" s="6" t="n">
        <v>7.33</v>
      </c>
      <c r="D26" s="6" t="n">
        <v>3</v>
      </c>
      <c r="E26" s="13" t="s">
        <v>245</v>
      </c>
      <c r="F26" s="6" t="n">
        <v>3.56</v>
      </c>
      <c r="G26" s="6" t="n">
        <v>1.44</v>
      </c>
      <c r="H26" s="13" t="s">
        <v>246</v>
      </c>
      <c r="I26" s="6" t="n">
        <v>3</v>
      </c>
      <c r="J26" s="6" t="n">
        <v>0</v>
      </c>
      <c r="K26" s="13" t="s">
        <v>247</v>
      </c>
      <c r="L26" s="6" t="s">
        <v>248</v>
      </c>
    </row>
    <row r="27" customFormat="false" ht="18" hidden="false" customHeight="true" outlineLevel="0" collapsed="false">
      <c r="A27" s="39" t="s">
        <v>47</v>
      </c>
      <c r="B27" s="40" t="n">
        <v>13</v>
      </c>
      <c r="C27" s="40" t="n">
        <v>9.23</v>
      </c>
      <c r="D27" s="40" t="n">
        <v>4.15</v>
      </c>
      <c r="E27" s="13" t="s">
        <v>249</v>
      </c>
      <c r="F27" s="40" t="n">
        <v>4.23</v>
      </c>
      <c r="G27" s="40" t="n">
        <v>2.46</v>
      </c>
      <c r="H27" s="13" t="s">
        <v>250</v>
      </c>
      <c r="I27" s="40" t="n">
        <v>5</v>
      </c>
      <c r="J27" s="40" t="n">
        <v>0</v>
      </c>
      <c r="K27" s="13" t="s">
        <v>251</v>
      </c>
      <c r="L27" s="40" t="s">
        <v>248</v>
      </c>
    </row>
    <row r="28" customFormat="false" ht="18" hidden="false" customHeight="true" outlineLevel="0" collapsed="false">
      <c r="A28" s="5" t="s">
        <v>32</v>
      </c>
      <c r="B28" s="6" t="n">
        <v>8</v>
      </c>
      <c r="C28" s="6" t="n">
        <v>8.5</v>
      </c>
      <c r="D28" s="6" t="n">
        <v>2.75</v>
      </c>
      <c r="E28" s="13" t="s">
        <v>252</v>
      </c>
      <c r="F28" s="6" t="n">
        <v>3.38</v>
      </c>
      <c r="G28" s="6" t="n">
        <v>1</v>
      </c>
      <c r="H28" s="13" t="s">
        <v>253</v>
      </c>
      <c r="I28" s="6" t="n">
        <v>4</v>
      </c>
      <c r="J28" s="6" t="n">
        <v>0</v>
      </c>
      <c r="K28" s="13" t="s">
        <v>244</v>
      </c>
      <c r="L28" s="6" t="s">
        <v>248</v>
      </c>
    </row>
    <row r="29" customFormat="false" ht="18" hidden="false" customHeight="true" outlineLevel="0" collapsed="false">
      <c r="A29" s="39" t="s">
        <v>23</v>
      </c>
      <c r="B29" s="40" t="n">
        <v>10</v>
      </c>
      <c r="C29" s="40" t="n">
        <v>8.4</v>
      </c>
      <c r="D29" s="40" t="n">
        <v>4.2</v>
      </c>
      <c r="E29" s="13" t="s">
        <v>254</v>
      </c>
      <c r="F29" s="40" t="n">
        <v>3.7</v>
      </c>
      <c r="G29" s="40" t="n">
        <v>2.5</v>
      </c>
      <c r="H29" s="13" t="s">
        <v>255</v>
      </c>
      <c r="I29" s="40" t="n">
        <v>2</v>
      </c>
      <c r="J29" s="40" t="n">
        <v>0</v>
      </c>
      <c r="K29" s="13" t="s">
        <v>256</v>
      </c>
      <c r="L29" s="40" t="s">
        <v>248</v>
      </c>
    </row>
    <row r="30" customFormat="false" ht="18" hidden="false" customHeight="true" outlineLevel="0" collapsed="false">
      <c r="A30" s="5" t="s">
        <v>84</v>
      </c>
      <c r="B30" s="6" t="n">
        <v>6</v>
      </c>
      <c r="C30" s="6" t="n">
        <v>8.67</v>
      </c>
      <c r="D30" s="6" t="n">
        <v>2.67</v>
      </c>
      <c r="E30" s="13" t="s">
        <v>257</v>
      </c>
      <c r="F30" s="6" t="n">
        <v>3.33</v>
      </c>
      <c r="G30" s="6" t="n">
        <v>1.83</v>
      </c>
      <c r="H30" s="13" t="s">
        <v>258</v>
      </c>
      <c r="I30" s="6" t="n">
        <v>1</v>
      </c>
      <c r="J30" s="6" t="n">
        <v>0</v>
      </c>
      <c r="K30" s="13" t="s">
        <v>259</v>
      </c>
      <c r="L30" s="6" t="s">
        <v>248</v>
      </c>
    </row>
    <row r="31" customFormat="false" ht="18" hidden="false" customHeight="true" outlineLevel="0" collapsed="false">
      <c r="A31" s="39" t="s">
        <v>55</v>
      </c>
      <c r="B31" s="40" t="n">
        <v>13</v>
      </c>
      <c r="C31" s="40" t="n">
        <v>5.69</v>
      </c>
      <c r="D31" s="40" t="n">
        <v>3.46</v>
      </c>
      <c r="E31" s="13" t="s">
        <v>260</v>
      </c>
      <c r="F31" s="40" t="n">
        <v>2</v>
      </c>
      <c r="G31" s="40" t="n">
        <v>1.08</v>
      </c>
      <c r="H31" s="13" t="s">
        <v>261</v>
      </c>
      <c r="I31" s="40" t="n">
        <v>2</v>
      </c>
      <c r="J31" s="40" t="n">
        <v>1</v>
      </c>
      <c r="K31" s="13" t="s">
        <v>259</v>
      </c>
      <c r="L31" s="40" t="s">
        <v>262</v>
      </c>
    </row>
    <row r="32" customFormat="false" ht="18" hidden="false" customHeight="true" outlineLevel="0" collapsed="false">
      <c r="A32" s="5" t="s">
        <v>38</v>
      </c>
      <c r="B32" s="6" t="n">
        <v>10</v>
      </c>
      <c r="C32" s="6" t="n">
        <v>6.6</v>
      </c>
      <c r="D32" s="6" t="n">
        <v>3.2</v>
      </c>
      <c r="E32" s="13" t="s">
        <v>263</v>
      </c>
      <c r="F32" s="6" t="n">
        <v>3.4</v>
      </c>
      <c r="G32" s="6" t="n">
        <v>2.5</v>
      </c>
      <c r="H32" s="13" t="s">
        <v>264</v>
      </c>
      <c r="I32" s="6" t="n">
        <v>1</v>
      </c>
      <c r="J32" s="6" t="n">
        <v>0</v>
      </c>
      <c r="K32" s="13" t="s">
        <v>259</v>
      </c>
      <c r="L32" s="6" t="s">
        <v>262</v>
      </c>
    </row>
    <row r="33" customFormat="false" ht="18" hidden="false" customHeight="true" outlineLevel="0" collapsed="false">
      <c r="A33" s="39" t="s">
        <v>18</v>
      </c>
      <c r="B33" s="40" t="n">
        <v>12</v>
      </c>
      <c r="C33" s="40" t="n">
        <v>10.58</v>
      </c>
      <c r="D33" s="40" t="n">
        <v>6.83</v>
      </c>
      <c r="E33" s="13" t="s">
        <v>265</v>
      </c>
      <c r="F33" s="40" t="n">
        <v>8.42</v>
      </c>
      <c r="G33" s="40" t="n">
        <v>7</v>
      </c>
      <c r="H33" s="13" t="s">
        <v>266</v>
      </c>
      <c r="I33" s="40" t="n">
        <v>5</v>
      </c>
      <c r="J33" s="40" t="n">
        <v>2</v>
      </c>
      <c r="K33" s="13" t="s">
        <v>247</v>
      </c>
      <c r="L33" s="40" t="s">
        <v>13</v>
      </c>
    </row>
    <row r="34" customFormat="false" ht="18" hidden="false" customHeight="true" outlineLevel="0" collapsed="false">
      <c r="A34" s="5" t="s">
        <v>51</v>
      </c>
      <c r="B34" s="6" t="n">
        <v>6</v>
      </c>
      <c r="C34" s="6" t="n">
        <v>7.83</v>
      </c>
      <c r="D34" s="6" t="n">
        <v>6</v>
      </c>
      <c r="E34" s="13" t="s">
        <v>267</v>
      </c>
      <c r="F34" s="6" t="n">
        <v>3.67</v>
      </c>
      <c r="G34" s="6" t="n">
        <v>2.83</v>
      </c>
      <c r="H34" s="13" t="s">
        <v>268</v>
      </c>
      <c r="I34" s="6" t="n">
        <v>1</v>
      </c>
      <c r="J34" s="6" t="n">
        <v>0</v>
      </c>
      <c r="K34" s="13" t="s">
        <v>259</v>
      </c>
      <c r="L34" s="6" t="s">
        <v>262</v>
      </c>
    </row>
  </sheetData>
  <mergeCells count="4">
    <mergeCell ref="A1:L1"/>
    <mergeCell ref="A3:C3"/>
    <mergeCell ref="A13:L13"/>
    <mergeCell ref="A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4" t="s">
        <v>269</v>
      </c>
      <c r="B1" s="14"/>
      <c r="C1" s="14"/>
      <c r="D1" s="14"/>
      <c r="E1" s="14"/>
      <c r="F1" s="14"/>
      <c r="G1" s="14"/>
      <c r="H1" s="14"/>
    </row>
    <row r="3" customFormat="false" ht="21.75" hidden="false" customHeight="true" outlineLevel="0" collapsed="false">
      <c r="A3" s="41" t="s">
        <v>270</v>
      </c>
      <c r="B3" s="41"/>
      <c r="C3" s="41"/>
      <c r="D3" s="41"/>
      <c r="E3" s="41"/>
      <c r="F3" s="41"/>
      <c r="G3" s="41"/>
      <c r="H3" s="41"/>
    </row>
    <row r="4" customFormat="false" ht="18" hidden="false" customHeight="true" outlineLevel="0" collapsed="false">
      <c r="A4" s="42" t="s">
        <v>271</v>
      </c>
      <c r="B4" s="43" t="n">
        <v>22</v>
      </c>
      <c r="C4" s="44" t="s">
        <v>272</v>
      </c>
    </row>
    <row r="7" customFormat="false" ht="21.75" hidden="false" customHeight="true" outlineLevel="0" collapsed="false">
      <c r="A7" s="41" t="s">
        <v>273</v>
      </c>
      <c r="B7" s="41"/>
      <c r="C7" s="41"/>
      <c r="D7" s="41"/>
      <c r="E7" s="41"/>
      <c r="F7" s="41"/>
      <c r="G7" s="41"/>
      <c r="H7" s="41"/>
    </row>
    <row r="8" customFormat="false" ht="18" hidden="false" customHeight="true" outlineLevel="0" collapsed="false">
      <c r="A8" s="42" t="s">
        <v>274</v>
      </c>
      <c r="B8" s="43" t="n">
        <v>3</v>
      </c>
      <c r="C8" s="44" t="s">
        <v>275</v>
      </c>
    </row>
    <row r="9" customFormat="false" ht="18" hidden="false" customHeight="true" outlineLevel="0" collapsed="false">
      <c r="A9" s="42" t="s">
        <v>276</v>
      </c>
      <c r="B9" s="45" t="n">
        <f aca="false">(B8-1)*1.5</f>
        <v>3</v>
      </c>
      <c r="C9" s="44" t="s">
        <v>277</v>
      </c>
    </row>
    <row r="10" customFormat="false" ht="18" hidden="false" customHeight="true" outlineLevel="0" collapsed="false">
      <c r="A10" s="42" t="s">
        <v>278</v>
      </c>
      <c r="B10" s="45" t="n">
        <f aca="false">B4+B9</f>
        <v>25</v>
      </c>
      <c r="C10" s="44" t="s">
        <v>279</v>
      </c>
    </row>
    <row r="13" customFormat="false" ht="21.75" hidden="false" customHeight="true" outlineLevel="0" collapsed="false">
      <c r="A13" s="41" t="s">
        <v>280</v>
      </c>
      <c r="B13" s="41"/>
      <c r="C13" s="41"/>
      <c r="D13" s="41"/>
      <c r="E13" s="41"/>
      <c r="F13" s="41"/>
      <c r="G13" s="41"/>
      <c r="H13" s="41"/>
    </row>
    <row r="14" customFormat="false" ht="18" hidden="false" customHeight="true" outlineLevel="0" collapsed="false">
      <c r="A14" s="42" t="s">
        <v>13</v>
      </c>
      <c r="B14" s="45" t="s">
        <v>281</v>
      </c>
      <c r="C14" s="44" t="s">
        <v>282</v>
      </c>
    </row>
    <row r="15" customFormat="false" ht="18" hidden="false" customHeight="true" outlineLevel="0" collapsed="false">
      <c r="A15" s="42" t="s">
        <v>283</v>
      </c>
      <c r="B15" s="45" t="n">
        <f aca="false">IF(B14="light_rain",1.15,IF(B14="heavy_rain",1.25,IF(B14="extreme_heat",1.1,1)))</f>
        <v>1</v>
      </c>
      <c r="C15" s="44" t="s">
        <v>284</v>
      </c>
    </row>
    <row r="16" customFormat="false" ht="18" hidden="false" customHeight="true" outlineLevel="0" collapsed="false">
      <c r="A16" s="42" t="s">
        <v>285</v>
      </c>
      <c r="B16" s="45" t="n">
        <f aca="false">B10*B15</f>
        <v>25</v>
      </c>
      <c r="C16" s="44"/>
    </row>
    <row r="19" customFormat="false" ht="21.75" hidden="false" customHeight="true" outlineLevel="0" collapsed="false">
      <c r="A19" s="41" t="s">
        <v>286</v>
      </c>
      <c r="B19" s="41"/>
      <c r="C19" s="41"/>
      <c r="D19" s="41"/>
      <c r="E19" s="41"/>
      <c r="F19" s="41"/>
      <c r="G19" s="41"/>
      <c r="H19" s="41"/>
    </row>
    <row r="20" customFormat="false" ht="18" hidden="false" customHeight="true" outlineLevel="0" collapsed="false">
      <c r="A20" s="42" t="s">
        <v>287</v>
      </c>
      <c r="B20" s="43" t="n">
        <v>3</v>
      </c>
      <c r="C20" s="44" t="s">
        <v>288</v>
      </c>
    </row>
    <row r="21" customFormat="false" ht="18" hidden="false" customHeight="true" outlineLevel="0" collapsed="false">
      <c r="A21" s="42" t="s">
        <v>289</v>
      </c>
      <c r="B21" s="45" t="n">
        <f aca="false">1+B20*0.1</f>
        <v>1.3</v>
      </c>
      <c r="C21" s="44" t="s">
        <v>290</v>
      </c>
    </row>
    <row r="22" customFormat="false" ht="18" hidden="false" customHeight="true" outlineLevel="0" collapsed="false">
      <c r="A22" s="42" t="s">
        <v>291</v>
      </c>
      <c r="B22" s="43" t="n">
        <v>25</v>
      </c>
      <c r="C22" s="44" t="s">
        <v>292</v>
      </c>
    </row>
    <row r="23" customFormat="false" ht="18" hidden="false" customHeight="true" outlineLevel="0" collapsed="false">
      <c r="A23" s="42" t="s">
        <v>293</v>
      </c>
      <c r="B23" s="45" t="n">
        <f aca="false">1+B22*0.004</f>
        <v>1.1</v>
      </c>
      <c r="C23" s="44" t="s">
        <v>294</v>
      </c>
    </row>
    <row r="24" customFormat="false" ht="18" hidden="false" customHeight="true" outlineLevel="0" collapsed="false">
      <c r="A24" s="42" t="s">
        <v>295</v>
      </c>
      <c r="B24" s="45" t="n">
        <f aca="false">B21*B23</f>
        <v>1.43</v>
      </c>
      <c r="C24" s="44"/>
    </row>
    <row r="25" customFormat="false" ht="18" hidden="false" customHeight="true" outlineLevel="0" collapsed="false">
      <c r="A25" s="42" t="s">
        <v>296</v>
      </c>
      <c r="B25" s="45" t="n">
        <f aca="false">B16*B24</f>
        <v>35.75</v>
      </c>
      <c r="C25" s="44" t="s">
        <v>297</v>
      </c>
    </row>
    <row r="27" customFormat="false" ht="21.75" hidden="false" customHeight="true" outlineLevel="0" collapsed="false">
      <c r="A27" s="41" t="s">
        <v>298</v>
      </c>
      <c r="B27" s="41"/>
      <c r="C27" s="41"/>
      <c r="D27" s="41"/>
      <c r="E27" s="41"/>
      <c r="F27" s="41"/>
      <c r="G27" s="41"/>
      <c r="H27" s="41"/>
    </row>
    <row r="28" customFormat="false" ht="18" hidden="false" customHeight="true" outlineLevel="0" collapsed="false">
      <c r="A28" s="42" t="s">
        <v>299</v>
      </c>
      <c r="B28" s="43" t="n">
        <v>0.65</v>
      </c>
      <c r="C28" s="44" t="s">
        <v>300</v>
      </c>
    </row>
    <row r="29" customFormat="false" ht="18" hidden="false" customHeight="true" outlineLevel="0" collapsed="false">
      <c r="A29" s="42" t="s">
        <v>301</v>
      </c>
      <c r="B29" s="43" t="n">
        <v>0.75</v>
      </c>
      <c r="C29" s="44" t="s">
        <v>302</v>
      </c>
    </row>
    <row r="30" customFormat="false" ht="18" hidden="false" customHeight="true" outlineLevel="0" collapsed="false">
      <c r="A30" s="42" t="s">
        <v>303</v>
      </c>
      <c r="B30" s="45" t="n">
        <f aca="false">IF(B29&gt;0.7,-0.1,IF(B29&gt;0.5,-0.05,0))</f>
        <v>-0.1</v>
      </c>
      <c r="C30" s="44" t="s">
        <v>304</v>
      </c>
    </row>
    <row r="31" customFormat="false" ht="18" hidden="false" customHeight="true" outlineLevel="0" collapsed="false">
      <c r="A31" s="42" t="s">
        <v>305</v>
      </c>
      <c r="B31" s="45" t="n">
        <f aca="false">IF(B14="light_rain",-0.05,IF(B14="heavy_rain",-0.1,0))</f>
        <v>0</v>
      </c>
      <c r="C31" s="44" t="s">
        <v>306</v>
      </c>
    </row>
    <row r="32" customFormat="false" ht="18" hidden="false" customHeight="true" outlineLevel="0" collapsed="false">
      <c r="A32" s="42" t="s">
        <v>307</v>
      </c>
      <c r="B32" s="43" t="n">
        <v>0.85</v>
      </c>
      <c r="C32" s="44" t="s">
        <v>308</v>
      </c>
    </row>
    <row r="33" customFormat="false" ht="18" hidden="false" customHeight="true" outlineLevel="0" collapsed="false">
      <c r="A33" s="42" t="s">
        <v>309</v>
      </c>
      <c r="B33" s="45" t="n">
        <f aca="false">IF(B32&lt;0.7,-0.1,IF(B32&lt;0.85,-0.05,0))</f>
        <v>0</v>
      </c>
      <c r="C33" s="44" t="s">
        <v>310</v>
      </c>
    </row>
    <row r="34" customFormat="false" ht="18" hidden="false" customHeight="true" outlineLevel="0" collapsed="false">
      <c r="A34" s="42" t="s">
        <v>311</v>
      </c>
      <c r="B34" s="45" t="n">
        <f aca="false">MAX(0.35,B28+B30+B31+B33)</f>
        <v>0.55</v>
      </c>
      <c r="C34" s="44" t="s">
        <v>312</v>
      </c>
    </row>
    <row r="37" customFormat="false" ht="21.75" hidden="false" customHeight="true" outlineLevel="0" collapsed="false">
      <c r="A37" s="46" t="s">
        <v>313</v>
      </c>
      <c r="B37" s="46"/>
      <c r="C37" s="46"/>
      <c r="D37" s="46"/>
      <c r="E37" s="46"/>
      <c r="F37" s="46"/>
      <c r="G37" s="46"/>
      <c r="H37" s="46"/>
    </row>
    <row r="38" customFormat="false" ht="18" hidden="false" customHeight="true" outlineLevel="0" collapsed="false">
      <c r="A38" s="42" t="s">
        <v>314</v>
      </c>
      <c r="B38" s="45" t="n">
        <f aca="false">B25</f>
        <v>35.75</v>
      </c>
      <c r="C38" s="44" t="s">
        <v>315</v>
      </c>
    </row>
    <row r="39" customFormat="false" ht="18" hidden="false" customHeight="true" outlineLevel="0" collapsed="false">
      <c r="A39" s="42" t="s">
        <v>316</v>
      </c>
      <c r="B39" s="45" t="n">
        <f aca="false">B34</f>
        <v>0.55</v>
      </c>
      <c r="C39" s="44" t="s">
        <v>317</v>
      </c>
    </row>
    <row r="40" customFormat="false" ht="18" hidden="false" customHeight="true" outlineLevel="0" collapsed="false">
      <c r="A40" s="42" t="s">
        <v>318</v>
      </c>
      <c r="B40" s="45" t="n">
        <f aca="false">ROUND(B38*B39,0)</f>
        <v>20</v>
      </c>
      <c r="C40" s="44" t="s">
        <v>319</v>
      </c>
    </row>
    <row r="41" customFormat="false" ht="18" hidden="false" customHeight="true" outlineLevel="0" collapsed="false">
      <c r="A41" s="42" t="s">
        <v>320</v>
      </c>
      <c r="B41" s="43" t="n">
        <v>8</v>
      </c>
      <c r="C41" s="44" t="s">
        <v>321</v>
      </c>
    </row>
    <row r="42" customFormat="false" ht="18" hidden="false" customHeight="true" outlineLevel="0" collapsed="false">
      <c r="A42" s="42" t="s">
        <v>322</v>
      </c>
      <c r="B42" s="45" t="n">
        <f aca="false">B40+B41</f>
        <v>28</v>
      </c>
      <c r="C42" s="44"/>
    </row>
    <row r="43" customFormat="false" ht="18" hidden="false" customHeight="true" outlineLevel="0" collapsed="false">
      <c r="A43" s="42" t="s">
        <v>323</v>
      </c>
      <c r="B43" s="45" t="n">
        <f aca="false">MAX(0,B42-B25)</f>
        <v>0</v>
      </c>
      <c r="C43" s="44" t="s">
        <v>324</v>
      </c>
    </row>
  </sheetData>
  <mergeCells count="7">
    <mergeCell ref="A1:H1"/>
    <mergeCell ref="A3:H3"/>
    <mergeCell ref="A7:H7"/>
    <mergeCell ref="A13:H13"/>
    <mergeCell ref="A19:H19"/>
    <mergeCell ref="A27:H27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2026-03-02T18:38:32Z</dcterms:created>
  <dc:creator>openpyxl</dc:creator>
  <dc:description/>
  <dc:language>en-US</dc:language>
  <cp:lastModifiedBy/>
  <dcterms:modified xsi:type="dcterms:W3CDTF">2026-03-02T18:38:33Z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